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MAX\OFICINA\"/>
    </mc:Choice>
  </mc:AlternateContent>
  <xr:revisionPtr revIDLastSave="0" documentId="13_ncr:1_{FF40D50F-3870-474A-896D-2855A809C7C5}" xr6:coauthVersionLast="47" xr6:coauthVersionMax="47" xr10:uidLastSave="{00000000-0000-0000-0000-000000000000}"/>
  <bookViews>
    <workbookView xWindow="-120" yWindow="-120" windowWidth="29040" windowHeight="15840" activeTab="6" xr2:uid="{11C01EE2-16D9-4BF8-BBA3-13AC5617B6D0}"/>
  </bookViews>
  <sheets>
    <sheet name="Captaciones Año 2024" sheetId="1" r:id="rId1"/>
    <sheet name="Captaciones Año 2025" sheetId="18" r:id="rId2"/>
    <sheet name="Captaciones por Agentes" sheetId="2" r:id="rId3"/>
    <sheet name="Reservas" sheetId="3" r:id="rId4"/>
    <sheet name="Ventas - Alquileres" sheetId="4" r:id="rId5"/>
    <sheet name="Puntas" sheetId="19" r:id="rId6"/>
    <sheet name="TOP" sheetId="5" r:id="rId7"/>
    <sheet name="Enero" sheetId="6" r:id="rId8"/>
    <sheet name="Febrero" sheetId="7" r:id="rId9"/>
    <sheet name="Marzo" sheetId="8" r:id="rId10"/>
    <sheet name="Abril" sheetId="9" r:id="rId11"/>
    <sheet name="Mayo" sheetId="10" r:id="rId12"/>
    <sheet name="Junio" sheetId="11" r:id="rId13"/>
    <sheet name="Julio" sheetId="12" r:id="rId14"/>
    <sheet name="Agosto" sheetId="13" r:id="rId15"/>
    <sheet name="Septiembre" sheetId="14" r:id="rId16"/>
    <sheet name="Octubre" sheetId="15" r:id="rId17"/>
    <sheet name="Noviembre" sheetId="16" r:id="rId18"/>
    <sheet name="Diciembre" sheetId="17" r:id="rId19"/>
  </sheets>
  <definedNames>
    <definedName name="_xlnm._FilterDatabase" localSheetId="0" hidden="1">'Captaciones Año 2024'!$A$6:$M$115</definedName>
    <definedName name="_xlnm._FilterDatabase" localSheetId="1" hidden="1">'Captaciones Año 2025'!$A$6:$M$185</definedName>
    <definedName name="_xlnm._FilterDatabase" localSheetId="4" hidden="1">'Ventas - Alquileres'!$A$6:$L$59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6" i="19" l="1"/>
  <c r="L76" i="19" s="1"/>
  <c r="I75" i="19"/>
  <c r="L75" i="19" s="1"/>
  <c r="L74" i="19"/>
  <c r="J74" i="19"/>
  <c r="L73" i="19"/>
  <c r="J73" i="19"/>
  <c r="I72" i="19"/>
  <c r="L72" i="19" s="1"/>
  <c r="J69" i="19"/>
  <c r="L68" i="19"/>
  <c r="L67" i="19"/>
  <c r="J67" i="19"/>
  <c r="I70" i="19"/>
  <c r="J70" i="19" s="1"/>
  <c r="I69" i="19"/>
  <c r="L69" i="19" s="1"/>
  <c r="I68" i="19"/>
  <c r="J68" i="19" s="1"/>
  <c r="E86" i="2"/>
  <c r="M69" i="3"/>
  <c r="M68" i="3"/>
  <c r="M66" i="3"/>
  <c r="L70" i="19" l="1"/>
  <c r="J72" i="19"/>
  <c r="J75" i="19"/>
  <c r="J76" i="19"/>
  <c r="M65" i="3"/>
  <c r="M64" i="3"/>
  <c r="L65" i="19"/>
  <c r="J65" i="19"/>
  <c r="I65" i="19"/>
  <c r="I64" i="19"/>
  <c r="J64" i="19" s="1"/>
  <c r="L64" i="19" s="1"/>
  <c r="E80" i="2"/>
  <c r="I63" i="19"/>
  <c r="J63" i="19" s="1"/>
  <c r="L63" i="19" s="1"/>
  <c r="M59" i="3"/>
  <c r="M58" i="3"/>
  <c r="L62" i="19"/>
  <c r="J62" i="19"/>
  <c r="I62" i="19"/>
  <c r="I61" i="19"/>
  <c r="L61" i="19" s="1"/>
  <c r="L60" i="19"/>
  <c r="J60" i="19"/>
  <c r="M57" i="3"/>
  <c r="M56" i="3"/>
  <c r="L56" i="19"/>
  <c r="J58" i="19"/>
  <c r="J56" i="19"/>
  <c r="I58" i="19"/>
  <c r="L58" i="19" s="1"/>
  <c r="I57" i="19"/>
  <c r="J57" i="19" s="1"/>
  <c r="E74" i="2"/>
  <c r="M53" i="3"/>
  <c r="E67" i="2"/>
  <c r="L55" i="19"/>
  <c r="J55" i="19"/>
  <c r="I54" i="19"/>
  <c r="L54" i="19" s="1"/>
  <c r="I53" i="19"/>
  <c r="L53" i="19" s="1"/>
  <c r="I52" i="19"/>
  <c r="J52" i="19" s="1"/>
  <c r="L52" i="19" s="1"/>
  <c r="L51" i="19"/>
  <c r="J51" i="19"/>
  <c r="M52" i="3"/>
  <c r="M51" i="3"/>
  <c r="J54" i="19" l="1"/>
  <c r="J61" i="19"/>
  <c r="J53" i="19"/>
  <c r="L57" i="19"/>
  <c r="I48" i="19"/>
  <c r="L48" i="19" s="1"/>
  <c r="L49" i="19"/>
  <c r="J49" i="19"/>
  <c r="E60" i="2"/>
  <c r="M48" i="3"/>
  <c r="L47" i="19"/>
  <c r="I47" i="19"/>
  <c r="J47" i="19" s="1"/>
  <c r="L46" i="19"/>
  <c r="J46" i="19"/>
  <c r="M47" i="3"/>
  <c r="M46" i="3"/>
  <c r="M45" i="3"/>
  <c r="M44" i="3"/>
  <c r="I45" i="19"/>
  <c r="L45" i="19" s="1"/>
  <c r="J43" i="19"/>
  <c r="I42" i="19"/>
  <c r="J42" i="19" s="1"/>
  <c r="L41" i="19"/>
  <c r="L40" i="19"/>
  <c r="M41" i="3"/>
  <c r="M40" i="3"/>
  <c r="L39" i="19"/>
  <c r="J39" i="19"/>
  <c r="L38" i="19"/>
  <c r="J38" i="19"/>
  <c r="E54" i="2"/>
  <c r="M36" i="19"/>
  <c r="L36" i="19"/>
  <c r="J36" i="19"/>
  <c r="L35" i="19"/>
  <c r="J35" i="19"/>
  <c r="I35" i="19"/>
  <c r="I34" i="19"/>
  <c r="L34" i="19" s="1"/>
  <c r="J34" i="19"/>
  <c r="L33" i="19"/>
  <c r="J33" i="19"/>
  <c r="L32" i="19"/>
  <c r="J32" i="19"/>
  <c r="E46" i="2"/>
  <c r="J45" i="19" l="1"/>
  <c r="J48" i="19"/>
  <c r="I28" i="19"/>
  <c r="L28" i="19" s="1"/>
  <c r="J30" i="19"/>
  <c r="L30" i="19"/>
  <c r="J28" i="19" l="1"/>
  <c r="L29" i="19"/>
  <c r="J29" i="19"/>
  <c r="I27" i="19"/>
  <c r="J27" i="19" s="1"/>
  <c r="M31" i="3"/>
  <c r="M29" i="3"/>
  <c r="L27" i="19" l="1"/>
  <c r="I26" i="19"/>
  <c r="L26" i="19" s="1"/>
  <c r="J25" i="19"/>
  <c r="L24" i="19"/>
  <c r="J24" i="19"/>
  <c r="L20" i="4"/>
  <c r="K20" i="4"/>
  <c r="L22" i="19"/>
  <c r="J22" i="19"/>
  <c r="I21" i="19"/>
  <c r="L21" i="19" s="1"/>
  <c r="E38" i="2"/>
  <c r="E30" i="2"/>
  <c r="M27" i="3"/>
  <c r="M25" i="3"/>
  <c r="I20" i="19"/>
  <c r="L20" i="19" s="1"/>
  <c r="M23" i="3"/>
  <c r="E22" i="2"/>
  <c r="J18" i="19"/>
  <c r="L18" i="19"/>
  <c r="M21" i="3"/>
  <c r="L17" i="19"/>
  <c r="J17" i="19"/>
  <c r="L99" i="1"/>
  <c r="J21" i="19" l="1"/>
  <c r="J20" i="19"/>
  <c r="J26" i="19"/>
  <c r="L16" i="19"/>
  <c r="J16" i="19"/>
  <c r="L15" i="19"/>
  <c r="J15" i="19"/>
  <c r="L11" i="19"/>
  <c r="J11" i="19"/>
  <c r="I13" i="19"/>
  <c r="L13" i="19" s="1"/>
  <c r="I12" i="19"/>
  <c r="J12" i="19" s="1"/>
  <c r="L8" i="19"/>
  <c r="J8" i="19"/>
  <c r="I9" i="19"/>
  <c r="L9" i="19" s="1"/>
  <c r="J13" i="19" l="1"/>
  <c r="L12" i="19"/>
  <c r="J9" i="19"/>
  <c r="M11" i="3" l="1"/>
  <c r="E16" i="2" l="1"/>
  <c r="M10" i="3" l="1"/>
  <c r="E12" i="2"/>
</calcChain>
</file>

<file path=xl/sharedStrings.xml><?xml version="1.0" encoding="utf-8"?>
<sst xmlns="http://schemas.openxmlformats.org/spreadsheetml/2006/main" count="4509" uniqueCount="694">
  <si>
    <t xml:space="preserve">   REGISTRO DE INMUEBLES  RE/MAX DELTA</t>
  </si>
  <si>
    <t xml:space="preserve">  </t>
  </si>
  <si>
    <t>Ítems</t>
  </si>
  <si>
    <t>Agente</t>
  </si>
  <si>
    <t>Código Oficina</t>
  </si>
  <si>
    <t>Código NOVUS</t>
  </si>
  <si>
    <t>Tipo de Inmueble</t>
  </si>
  <si>
    <t>Urbanización</t>
  </si>
  <si>
    <t>Exclu</t>
  </si>
  <si>
    <t>A / V</t>
  </si>
  <si>
    <t>Fecha Captación</t>
  </si>
  <si>
    <t>Fecha Novus</t>
  </si>
  <si>
    <t>Precio Inicial</t>
  </si>
  <si>
    <t>Referido RE/MAX</t>
  </si>
  <si>
    <t>Observaciones</t>
  </si>
  <si>
    <t>ENERO</t>
  </si>
  <si>
    <t>Elsa Perez</t>
  </si>
  <si>
    <t>Apartamento</t>
  </si>
  <si>
    <t>Camino Real, La Colonia</t>
  </si>
  <si>
    <t>S</t>
  </si>
  <si>
    <t>V</t>
  </si>
  <si>
    <t>Norka Mijares</t>
  </si>
  <si>
    <t>0156-0474</t>
  </si>
  <si>
    <t>Parque Habitat El Encantado</t>
  </si>
  <si>
    <t>N</t>
  </si>
  <si>
    <t>A</t>
  </si>
  <si>
    <t>Jesi Caringi</t>
  </si>
  <si>
    <t>Alto Grande</t>
  </si>
  <si>
    <t>0156-0476</t>
  </si>
  <si>
    <t>Araira, Las Torres</t>
  </si>
  <si>
    <t>Oasis Suites</t>
  </si>
  <si>
    <t>Doris Cornejo</t>
  </si>
  <si>
    <t>0156-0479</t>
  </si>
  <si>
    <t>TH</t>
  </si>
  <si>
    <t>Las Margaritas</t>
  </si>
  <si>
    <t>0156-0480</t>
  </si>
  <si>
    <t>Casa</t>
  </si>
  <si>
    <t>Guatire, Casco Central</t>
  </si>
  <si>
    <t>0156-0482</t>
  </si>
  <si>
    <t>Castillejo, El Escorial</t>
  </si>
  <si>
    <t>José Castellanos</t>
  </si>
  <si>
    <t>0156-0483</t>
  </si>
  <si>
    <t>Fondo de Comercio</t>
  </si>
  <si>
    <t>Ciudad Casarapa</t>
  </si>
  <si>
    <t>Las Flores</t>
  </si>
  <si>
    <t>La Sabana</t>
  </si>
  <si>
    <t>Castillejo, Los Altos II</t>
  </si>
  <si>
    <t>0156-0495</t>
  </si>
  <si>
    <t>Terreno y Casa</t>
  </si>
  <si>
    <t>Guatire, Calle Zamora</t>
  </si>
  <si>
    <t>La Vaquera</t>
  </si>
  <si>
    <t>FEBRERO</t>
  </si>
  <si>
    <t>Castillejo, La Esperanza II</t>
  </si>
  <si>
    <t>0156-0499</t>
  </si>
  <si>
    <t>Ciudad Casarapa Parcela 23</t>
  </si>
  <si>
    <t>0156-0500</t>
  </si>
  <si>
    <t>Ciudad Casarapa Parcela 6</t>
  </si>
  <si>
    <t>0156-0502</t>
  </si>
  <si>
    <t>Guarenas, Los Girasoles</t>
  </si>
  <si>
    <t>0156-0504</t>
  </si>
  <si>
    <t>Menca de Leoni</t>
  </si>
  <si>
    <t>Oriana Montilla</t>
  </si>
  <si>
    <t>Nueva Casarapa, El Alambique</t>
  </si>
  <si>
    <t>Local Comercial</t>
  </si>
  <si>
    <t>0156-0508</t>
  </si>
  <si>
    <t>Nueva Casarapa, Los Portales</t>
  </si>
  <si>
    <t>MARZO</t>
  </si>
  <si>
    <t>La Sabana, El Marques</t>
  </si>
  <si>
    <t>0156-0515</t>
  </si>
  <si>
    <t>Ciudad Casarapa Parcela 21</t>
  </si>
  <si>
    <t>Captado al 5%</t>
  </si>
  <si>
    <t>ABRIL</t>
  </si>
  <si>
    <t>0156-0518</t>
  </si>
  <si>
    <t>Guatire Plaza, Plaza Oro III</t>
  </si>
  <si>
    <t>0156-0520</t>
  </si>
  <si>
    <t>Las Rosas, La Pradera</t>
  </si>
  <si>
    <t>0156-0524</t>
  </si>
  <si>
    <t>Buenaventura Suites</t>
  </si>
  <si>
    <t>0156-0525</t>
  </si>
  <si>
    <t>Guatire, Calle Atlantida</t>
  </si>
  <si>
    <t>0156-0529</t>
  </si>
  <si>
    <t>Ciudad Casarapa, Parcela 14</t>
  </si>
  <si>
    <t>Galpón</t>
  </si>
  <si>
    <t>Ciudad Casarapa, Parcela 6</t>
  </si>
  <si>
    <t>Las Acacias</t>
  </si>
  <si>
    <t>0156-0536</t>
  </si>
  <si>
    <t>Higuerote, Brisas del Mar</t>
  </si>
  <si>
    <t>MAYO</t>
  </si>
  <si>
    <t>0156-0539</t>
  </si>
  <si>
    <t>Castillejo, Alcazar</t>
  </si>
  <si>
    <t>0156-0544</t>
  </si>
  <si>
    <t>Falta Doc de Propiedad</t>
  </si>
  <si>
    <t>0156-0547</t>
  </si>
  <si>
    <t>Local</t>
  </si>
  <si>
    <t>Las Rosas, C.C. La Entrada</t>
  </si>
  <si>
    <t>0156-0548</t>
  </si>
  <si>
    <t>Higuerote, La Costanera</t>
  </si>
  <si>
    <t>JUNIO</t>
  </si>
  <si>
    <t>0156-0549</t>
  </si>
  <si>
    <t>Ciudad Casarapa, Parcela 7</t>
  </si>
  <si>
    <t>0156-0550</t>
  </si>
  <si>
    <t>Terreno</t>
  </si>
  <si>
    <t>El Marques</t>
  </si>
  <si>
    <t>Consultorio</t>
  </si>
  <si>
    <t>C.C. El Castillejo</t>
  </si>
  <si>
    <t>0156-0554</t>
  </si>
  <si>
    <t>Castillejo, Fuenteventura</t>
  </si>
  <si>
    <t>0156-0555</t>
  </si>
  <si>
    <t>Guarenas, Aconcagua</t>
  </si>
  <si>
    <t>0156-0556</t>
  </si>
  <si>
    <t>Reasignado 18/06/2024</t>
  </si>
  <si>
    <t>0156-0558</t>
  </si>
  <si>
    <t>0156-0560</t>
  </si>
  <si>
    <t>0156-0561</t>
  </si>
  <si>
    <t>Oficina</t>
  </si>
  <si>
    <t>0156-0562</t>
  </si>
  <si>
    <t>JULIO</t>
  </si>
  <si>
    <t>0156-0565</t>
  </si>
  <si>
    <t>Guarenas, El Torreón</t>
  </si>
  <si>
    <t>0516-0566</t>
  </si>
  <si>
    <t>0156-0569</t>
  </si>
  <si>
    <t>Momentum - José Pernia</t>
  </si>
  <si>
    <t>Luis León</t>
  </si>
  <si>
    <t>0156-0570</t>
  </si>
  <si>
    <t>Centro Medico</t>
  </si>
  <si>
    <t>Centro Medico German León</t>
  </si>
  <si>
    <t>0156-0571</t>
  </si>
  <si>
    <t>Valle Arriba, Londres</t>
  </si>
  <si>
    <t>0156-0574</t>
  </si>
  <si>
    <t>PH</t>
  </si>
  <si>
    <t>AGOSTO</t>
  </si>
  <si>
    <t>0156-0577</t>
  </si>
  <si>
    <t>C.C. Macaira Plaza</t>
  </si>
  <si>
    <t>0156-0578</t>
  </si>
  <si>
    <t>Ciudad Casarapa Parcela 7</t>
  </si>
  <si>
    <t>0156-0579</t>
  </si>
  <si>
    <t>El Encantado II</t>
  </si>
  <si>
    <t>0156-0581</t>
  </si>
  <si>
    <t>0156-0582</t>
  </si>
  <si>
    <t>El Refugio</t>
  </si>
  <si>
    <t>0156-0584</t>
  </si>
  <si>
    <t>0156-0585</t>
  </si>
  <si>
    <t>Valle Arriba, Colinas de Valle Arriba</t>
  </si>
  <si>
    <t>SEPTIEMBRE</t>
  </si>
  <si>
    <t>0156-0586</t>
  </si>
  <si>
    <t>0156-0589</t>
  </si>
  <si>
    <t>C.C. Compro, Las Barrancas</t>
  </si>
  <si>
    <t>0156-0590</t>
  </si>
  <si>
    <t>Castillejo, Las Bonitas</t>
  </si>
  <si>
    <t>VIP Lido - Danny Isturiz</t>
  </si>
  <si>
    <t>0156-0591</t>
  </si>
  <si>
    <t>0156-0592</t>
  </si>
  <si>
    <t>0156-0593</t>
  </si>
  <si>
    <t>Higuerote, Costa Grande</t>
  </si>
  <si>
    <t>0156-0594</t>
  </si>
  <si>
    <t>Valle Arriba, Las Bonitas II</t>
  </si>
  <si>
    <t>0156-0595</t>
  </si>
  <si>
    <t>0156-0598</t>
  </si>
  <si>
    <t>0156-0599</t>
  </si>
  <si>
    <t>Higuerote, Puerto Encantado, AQUA</t>
  </si>
  <si>
    <t>Life - Marianghella Vargas</t>
  </si>
  <si>
    <t>0156-0601</t>
  </si>
  <si>
    <t>Guarenas, Menca de Leoni</t>
  </si>
  <si>
    <t>OCTUBRE</t>
  </si>
  <si>
    <t>0156-0602</t>
  </si>
  <si>
    <t>Nueva Casarapa, La Laguna</t>
  </si>
  <si>
    <t>Area - Vanessa Jaimes</t>
  </si>
  <si>
    <t>0156-0604</t>
  </si>
  <si>
    <t>0156-0605</t>
  </si>
  <si>
    <t>Frutas Condominiums, Semeruco</t>
  </si>
  <si>
    <t>VIP Cristal - Fulvio</t>
  </si>
  <si>
    <t>0156-0606</t>
  </si>
  <si>
    <t>Terreno y Local</t>
  </si>
  <si>
    <t>Guatire, Calle 9 de Diciembre</t>
  </si>
  <si>
    <t>0156-0609</t>
  </si>
  <si>
    <t>Higuerote, Colinas de Mondragon</t>
  </si>
  <si>
    <t>NOVIEMBRE</t>
  </si>
  <si>
    <t>0156-0610</t>
  </si>
  <si>
    <t>0156-0611</t>
  </si>
  <si>
    <t>Guatire, Residencias Pompa</t>
  </si>
  <si>
    <t>0156-0612</t>
  </si>
  <si>
    <t>Guatire, Parque Residencial Guatire</t>
  </si>
  <si>
    <t>0156-0613</t>
  </si>
  <si>
    <t>0156-0614</t>
  </si>
  <si>
    <t>Guatire, Calle Macaira</t>
  </si>
  <si>
    <t>0156-0615</t>
  </si>
  <si>
    <t>Guarenas, Villa de Plaza</t>
  </si>
  <si>
    <t>0156-0616</t>
  </si>
  <si>
    <t>Terrazas del Este, Guarenas</t>
  </si>
  <si>
    <t>0156-0617</t>
  </si>
  <si>
    <t>0156-0618</t>
  </si>
  <si>
    <t>DICIEMBRE</t>
  </si>
  <si>
    <t>0156-0619</t>
  </si>
  <si>
    <t xml:space="preserve">Apartamento </t>
  </si>
  <si>
    <t>0156-0620</t>
  </si>
  <si>
    <t>Magnum - Hexer Pacheco</t>
  </si>
  <si>
    <t>0156-0621</t>
  </si>
  <si>
    <t>0156-0622</t>
  </si>
  <si>
    <t>Castillejo, Los Robles</t>
  </si>
  <si>
    <t>Delta - Luis León</t>
  </si>
  <si>
    <t>Cantidad Captaciones</t>
  </si>
  <si>
    <t>TOTAL INMUEBLES</t>
  </si>
  <si>
    <t xml:space="preserve">   REGISTRO DE INMUEBLES EN RESERVA RE/MAX DELTA</t>
  </si>
  <si>
    <t>Fecha Listada</t>
  </si>
  <si>
    <t>Fecha de Reserva / Opc CompraVenta</t>
  </si>
  <si>
    <t>Precio Final</t>
  </si>
  <si>
    <t>Monto de la Reserva</t>
  </si>
  <si>
    <t>Pago del Documento</t>
  </si>
  <si>
    <r>
      <t xml:space="preserve">CREDITO PDVSA / </t>
    </r>
    <r>
      <rPr>
        <b/>
        <sz val="10"/>
        <color rgb="FFFF0000"/>
        <rFont val="Arial"/>
        <family val="2"/>
      </rPr>
      <t>Vence el 27/12/2024</t>
    </r>
  </si>
  <si>
    <t>AÑO 2024</t>
  </si>
  <si>
    <t xml:space="preserve">   REGISTRO DE INMUEBLES VENDIDOS DE RE/MAX DELTA</t>
  </si>
  <si>
    <t>Fecha de Venta / Alquiler</t>
  </si>
  <si>
    <t>REFERIDO</t>
  </si>
  <si>
    <t xml:space="preserve">ENERO  </t>
  </si>
  <si>
    <t>Referido</t>
  </si>
  <si>
    <t>REGISTRO DE INMUEBLES  RE/MAX DELTA</t>
  </si>
  <si>
    <t>0156-0628</t>
  </si>
  <si>
    <t>Valle Grande</t>
  </si>
  <si>
    <t>Opción de CompraVenta</t>
  </si>
  <si>
    <t>Alianza con Armando Blanco</t>
  </si>
  <si>
    <t>Altitud - Vanessa Jaimes</t>
  </si>
  <si>
    <t>Alianza con Angie Utrera</t>
  </si>
  <si>
    <t>0516-0646</t>
  </si>
  <si>
    <t>El Ingenio, Los Naranjos del Ingenio</t>
  </si>
  <si>
    <t>Castillejo, El Torreon</t>
  </si>
  <si>
    <t>0156-0647</t>
  </si>
  <si>
    <t>0156-0648</t>
  </si>
  <si>
    <t>Las Barrancas, Edif Compro - Local Nro. 2-23</t>
  </si>
  <si>
    <t>0156-0649</t>
  </si>
  <si>
    <t>Las Barrancas, Edif Compro - Local Nro. 2-22</t>
  </si>
  <si>
    <t>0156-0650</t>
  </si>
  <si>
    <t>0156-0651</t>
  </si>
  <si>
    <t>Las Barrancas, Edif Compro - Local Nro. 1-13</t>
  </si>
  <si>
    <t>Las Barrancas, Edif Compro - Local Nro. 16</t>
  </si>
  <si>
    <t>0156-0652</t>
  </si>
  <si>
    <t>Las Margaritas, El Ingenio</t>
  </si>
  <si>
    <t>0156-0653</t>
  </si>
  <si>
    <t>Guarenas, Calle Federacion con Calle Vzla</t>
  </si>
  <si>
    <t>0156-0654</t>
  </si>
  <si>
    <t>El Marques, Los Cardenales</t>
  </si>
  <si>
    <t>0156-0655</t>
  </si>
  <si>
    <t>0156-0629</t>
  </si>
  <si>
    <t>Habitat - Oriana Montilla</t>
  </si>
  <si>
    <t>Alianza con Daylis Acosta</t>
  </si>
  <si>
    <t>0156-0656</t>
  </si>
  <si>
    <t>0156-0657</t>
  </si>
  <si>
    <t>Higuerote, Maravillas del Mar</t>
  </si>
  <si>
    <t>0156-0658</t>
  </si>
  <si>
    <t>0156-0659</t>
  </si>
  <si>
    <t>0156-0660</t>
  </si>
  <si>
    <t>Higuerote, Villas de Fuente Mar 16-5A</t>
  </si>
  <si>
    <t>Higuerote, Villas de Fuente Mar 17B-2B</t>
  </si>
  <si>
    <t>4U- Jair Jacob Omar</t>
  </si>
  <si>
    <t>Vista Dorada</t>
  </si>
  <si>
    <t>Altitud - Ingrid León</t>
  </si>
  <si>
    <t>0156-0661</t>
  </si>
  <si>
    <t>Terra Gold - Crisbel Rodriguez</t>
  </si>
  <si>
    <t>0156-0662</t>
  </si>
  <si>
    <t>Castillejo, Montaña Linda</t>
  </si>
  <si>
    <t>0156-0663</t>
  </si>
  <si>
    <t>0156-0664</t>
  </si>
  <si>
    <t>C.C. Oasis Center</t>
  </si>
  <si>
    <t>Habitat - Yordelis Torres</t>
  </si>
  <si>
    <t>0156-0665</t>
  </si>
  <si>
    <t>0156-0666</t>
  </si>
  <si>
    <t>0156-0667</t>
  </si>
  <si>
    <t>Parque Alto</t>
  </si>
  <si>
    <t>TOP CAPTACIONES</t>
  </si>
  <si>
    <t>TOP CERRADORES</t>
  </si>
  <si>
    <t>Mes</t>
  </si>
  <si>
    <t>Nro de Captaciones</t>
  </si>
  <si>
    <t>TOP Captación</t>
  </si>
  <si>
    <t>Puntas</t>
  </si>
  <si>
    <t>TOP Cerrador</t>
  </si>
  <si>
    <t>Enero</t>
  </si>
  <si>
    <t>Febrero</t>
  </si>
  <si>
    <t>Elsa Peréz</t>
  </si>
  <si>
    <t>REGISTRO DE PUNTAS</t>
  </si>
  <si>
    <t>Comisión</t>
  </si>
  <si>
    <t>Primera Punta</t>
  </si>
  <si>
    <t>Segunda Punta</t>
  </si>
  <si>
    <t>Norka</t>
  </si>
  <si>
    <t>Castellanos</t>
  </si>
  <si>
    <t>Elsa</t>
  </si>
  <si>
    <t>Doris</t>
  </si>
  <si>
    <t>Angie</t>
  </si>
  <si>
    <t>Daylis</t>
  </si>
  <si>
    <t>0156-0668</t>
  </si>
  <si>
    <t>Castillejo, Jardines de Castillejo</t>
  </si>
  <si>
    <t>Alianza con Naileth</t>
  </si>
  <si>
    <t>Naileth</t>
  </si>
  <si>
    <t>0156-0623</t>
  </si>
  <si>
    <t>Higuerote, Palma Real</t>
  </si>
  <si>
    <t>0156-0624</t>
  </si>
  <si>
    <t>Vicente Emilio Sojo</t>
  </si>
  <si>
    <t>0156-0625</t>
  </si>
  <si>
    <t>0156-0626</t>
  </si>
  <si>
    <t>Castillejo, La Abadia</t>
  </si>
  <si>
    <t>0156-0627</t>
  </si>
  <si>
    <t>Guatire</t>
  </si>
  <si>
    <t>0156-0630</t>
  </si>
  <si>
    <t>Valle Arriba, Roma</t>
  </si>
  <si>
    <t>0156-0631</t>
  </si>
  <si>
    <t>0156-0632</t>
  </si>
  <si>
    <t>Las Barrancas, Edif Compro</t>
  </si>
  <si>
    <t>0156-0633</t>
  </si>
  <si>
    <t>0156-0634</t>
  </si>
  <si>
    <t>Ipasme</t>
  </si>
  <si>
    <t>0156-0635</t>
  </si>
  <si>
    <t>Terreno y Parcela</t>
  </si>
  <si>
    <t>Araira</t>
  </si>
  <si>
    <t>0156-0636</t>
  </si>
  <si>
    <t>Antares Villas, El Ingenio</t>
  </si>
  <si>
    <t>0156-0637</t>
  </si>
  <si>
    <t>Castillejo, La Trinidad</t>
  </si>
  <si>
    <t>0156-0638</t>
  </si>
  <si>
    <t>Local Nro. 26</t>
  </si>
  <si>
    <t>0156-0639</t>
  </si>
  <si>
    <t>Local Nro. 28</t>
  </si>
  <si>
    <t>0156-0640</t>
  </si>
  <si>
    <t>Local Nro. 29</t>
  </si>
  <si>
    <t>0156-0641</t>
  </si>
  <si>
    <t>Local Nro. 23</t>
  </si>
  <si>
    <t>0156-0642</t>
  </si>
  <si>
    <t>Local Nro. 20</t>
  </si>
  <si>
    <t>0156-0643</t>
  </si>
  <si>
    <t>Local Nro. 18</t>
  </si>
  <si>
    <t>0156-0644</t>
  </si>
  <si>
    <t>Local Nro. 15</t>
  </si>
  <si>
    <t>0156-0645</t>
  </si>
  <si>
    <t>Local Nro. 13B</t>
  </si>
  <si>
    <t>0156-0669</t>
  </si>
  <si>
    <t>Casa Bonita</t>
  </si>
  <si>
    <t>0156-0670</t>
  </si>
  <si>
    <t>Gran Costanera, Higuerote</t>
  </si>
  <si>
    <t>0156-0671</t>
  </si>
  <si>
    <t>0156-0672</t>
  </si>
  <si>
    <t>La Rosa, Moro Juan</t>
  </si>
  <si>
    <t>18/03/205</t>
  </si>
  <si>
    <t>-</t>
  </si>
  <si>
    <t>Alianza con Maria Eugenia Lopez</t>
  </si>
  <si>
    <t>Maria</t>
  </si>
  <si>
    <t>Alianza con Margaret</t>
  </si>
  <si>
    <t>0156-0673</t>
  </si>
  <si>
    <t>Quiosco</t>
  </si>
  <si>
    <t>C.C.Castillejo</t>
  </si>
  <si>
    <t>0156-0674</t>
  </si>
  <si>
    <t>El Encantado I</t>
  </si>
  <si>
    <t>0156-0675</t>
  </si>
  <si>
    <t>Villas de Buenaventura</t>
  </si>
  <si>
    <t>0156-0676</t>
  </si>
  <si>
    <t>Palo Alto, El Ingenio</t>
  </si>
  <si>
    <t>Delta - Leopoldo Correa</t>
  </si>
  <si>
    <t>0156-0677</t>
  </si>
  <si>
    <t>0156-0678</t>
  </si>
  <si>
    <t>Las Barrancas, Sector Las Flores</t>
  </si>
  <si>
    <t>Momentum II - Vitor Da Silva</t>
  </si>
  <si>
    <t>0156-0679</t>
  </si>
  <si>
    <t>0156-0680</t>
  </si>
  <si>
    <t>Higuerote, Marina Suites</t>
  </si>
  <si>
    <r>
      <t>Galpon</t>
    </r>
    <r>
      <rPr>
        <sz val="10"/>
        <rFont val="Arial"/>
        <family val="2"/>
      </rPr>
      <t xml:space="preserve"> 1.710 Mts2</t>
    </r>
  </si>
  <si>
    <r>
      <t xml:space="preserve">Galpón </t>
    </r>
    <r>
      <rPr>
        <sz val="10"/>
        <rFont val="Arial"/>
        <family val="2"/>
      </rPr>
      <t>2.213 Mts2</t>
    </r>
  </si>
  <si>
    <t>Higuerote, Parque Costanera</t>
  </si>
  <si>
    <t>0156-0681</t>
  </si>
  <si>
    <t>Castillejo, Parque Habitat B</t>
  </si>
  <si>
    <t>0156-0682</t>
  </si>
  <si>
    <t>Plaza Oro, Guatire Plaza III</t>
  </si>
  <si>
    <t>Marzo</t>
  </si>
  <si>
    <t>Elsa Pérez</t>
  </si>
  <si>
    <t>José Noria</t>
  </si>
  <si>
    <t>Higuerote, La Marina Suites &amp; Beach</t>
  </si>
  <si>
    <t>Alianza con Genesis Ochoa</t>
  </si>
  <si>
    <t>0156-0683</t>
  </si>
  <si>
    <t>Guatire, Ipasme</t>
  </si>
  <si>
    <t>0156-0684</t>
  </si>
  <si>
    <t>0156-0685</t>
  </si>
  <si>
    <t>Los Portales I, Nva Casarapa</t>
  </si>
  <si>
    <t>Futuro - Xioly Vera Vivas</t>
  </si>
  <si>
    <t>Mervis Fernandez</t>
  </si>
  <si>
    <t>0156-0686</t>
  </si>
  <si>
    <t>Enrique Oliveri</t>
  </si>
  <si>
    <t>0156-0687</t>
  </si>
  <si>
    <t>Canaima II</t>
  </si>
  <si>
    <t>0156-0688</t>
  </si>
  <si>
    <t>Castillejo, La Esperanza I</t>
  </si>
  <si>
    <t>0156-0689</t>
  </si>
  <si>
    <t>Castillejo, La Alabarda</t>
  </si>
  <si>
    <t>Zaida Barillas</t>
  </si>
  <si>
    <t>0156-0690</t>
  </si>
  <si>
    <r>
      <t xml:space="preserve">El Marques, La Sabana </t>
    </r>
    <r>
      <rPr>
        <sz val="10"/>
        <rFont val="Arial"/>
        <family val="2"/>
      </rPr>
      <t>(Remodelado)</t>
    </r>
  </si>
  <si>
    <t>0156-0691</t>
  </si>
  <si>
    <t>Castillejo, Villa Hermosa</t>
  </si>
  <si>
    <t>0156-0692</t>
  </si>
  <si>
    <r>
      <t>El Marques, La Sabana</t>
    </r>
    <r>
      <rPr>
        <sz val="10"/>
        <rFont val="Arial"/>
        <family val="2"/>
      </rPr>
      <t xml:space="preserve"> (Obra Gris)</t>
    </r>
  </si>
  <si>
    <t>0156-0693</t>
  </si>
  <si>
    <t>Calle Zamora, Guatire</t>
  </si>
  <si>
    <t>0156-0694</t>
  </si>
  <si>
    <t>0156-0695</t>
  </si>
  <si>
    <t xml:space="preserve">Terreno </t>
  </si>
  <si>
    <t>Carenero, Higuerote</t>
  </si>
  <si>
    <t>Abba - Zaimy Brito</t>
  </si>
  <si>
    <t>0156-0696</t>
  </si>
  <si>
    <t>San Francisco</t>
  </si>
  <si>
    <t>0156-0697</t>
  </si>
  <si>
    <t>C.C. Castillejo</t>
  </si>
  <si>
    <t>0156-0698</t>
  </si>
  <si>
    <t>Parque Habitat El Ingenio</t>
  </si>
  <si>
    <t>Abril</t>
  </si>
  <si>
    <t>Margaret</t>
  </si>
  <si>
    <t>VIP Cristal - Fulvio Marinoni</t>
  </si>
  <si>
    <t>0156-0699</t>
  </si>
  <si>
    <t>Momentum II - Ricardo Dugarte</t>
  </si>
  <si>
    <t>0156-0700</t>
  </si>
  <si>
    <t>Country Club Buena Ventura</t>
  </si>
  <si>
    <t>VIP Cristal - Yolismar Alvarez</t>
  </si>
  <si>
    <t>0156-0701</t>
  </si>
  <si>
    <t>AptoQuinta</t>
  </si>
  <si>
    <t>VIP Lido - Alexander Ramirez</t>
  </si>
  <si>
    <t>0156-0702</t>
  </si>
  <si>
    <t>Presidente de Condominio</t>
  </si>
  <si>
    <t>0156-0703</t>
  </si>
  <si>
    <t>2Mil - Rosaura Navas</t>
  </si>
  <si>
    <t>0156-0704</t>
  </si>
  <si>
    <t>Higuerote, Villas Tucán</t>
  </si>
  <si>
    <t>Jardines de Castillejo</t>
  </si>
  <si>
    <t>0156-0705</t>
  </si>
  <si>
    <t>Guarenas, Conj. Res. Los Rosales</t>
  </si>
  <si>
    <t>0156-0708</t>
  </si>
  <si>
    <t>0156-0709</t>
  </si>
  <si>
    <t>Puerto Encantado, Mediterranee</t>
  </si>
  <si>
    <t>0156-0710</t>
  </si>
  <si>
    <t>Altos de Copacabana</t>
  </si>
  <si>
    <t>0156-0711</t>
  </si>
  <si>
    <t>Estancia Las Margaritas</t>
  </si>
  <si>
    <t>0156-0712</t>
  </si>
  <si>
    <t>falta 100</t>
  </si>
  <si>
    <t>Zaida</t>
  </si>
  <si>
    <t>Premier - Maria Gabriela Bassignano</t>
  </si>
  <si>
    <t>Genesis</t>
  </si>
  <si>
    <t>0156-0713</t>
  </si>
  <si>
    <t>Guatire, Caja de Agua</t>
  </si>
  <si>
    <t>0156-0714</t>
  </si>
  <si>
    <t>Los Pozos del Valle, Rio Grande</t>
  </si>
  <si>
    <t>Delta - Leopoldo  Correa</t>
  </si>
  <si>
    <t>0156-0715</t>
  </si>
  <si>
    <t>Altos de Izcaragua</t>
  </si>
  <si>
    <t>VIP Lido - Eduvigis Diaz</t>
  </si>
  <si>
    <t>0156-0716</t>
  </si>
  <si>
    <t>Villas de Fuente Mar, Higuerote</t>
  </si>
  <si>
    <t>0156-0717</t>
  </si>
  <si>
    <t>Mediterrane, Pto Encantado</t>
  </si>
  <si>
    <t>Urbe - Wendy Pacheco</t>
  </si>
  <si>
    <t>0156-01718</t>
  </si>
  <si>
    <t>Conj. Res. Aqua, Puerto Encantado</t>
  </si>
  <si>
    <t>Vip Cristal - Fulvio Marinoni</t>
  </si>
  <si>
    <t>PRESIDENTE DE CONDOMINIO</t>
  </si>
  <si>
    <t>Enrique</t>
  </si>
  <si>
    <t>Mayo</t>
  </si>
  <si>
    <t>0156-0718</t>
  </si>
  <si>
    <t>0156-0719</t>
  </si>
  <si>
    <t>Rio Chico, Puerta del Mar La Playa</t>
  </si>
  <si>
    <t>0156-0720</t>
  </si>
  <si>
    <t>El Ingenio, Muralla Arriba</t>
  </si>
  <si>
    <t>0156-0721</t>
  </si>
  <si>
    <t>0156-0722</t>
  </si>
  <si>
    <t>Higuerote, Conj Turistico Brion</t>
  </si>
  <si>
    <t>2 Mil - Juan Sanchez</t>
  </si>
  <si>
    <t>0156-0723</t>
  </si>
  <si>
    <t>Higuerote, Parque Mar</t>
  </si>
  <si>
    <t>Mervis</t>
  </si>
  <si>
    <t>0156-0724</t>
  </si>
  <si>
    <t>Castillejo, Torreon</t>
  </si>
  <si>
    <t>Jose Castellanos</t>
  </si>
  <si>
    <t>0156-0725</t>
  </si>
  <si>
    <t>0156-0726</t>
  </si>
  <si>
    <t>C.C. Trapichito</t>
  </si>
  <si>
    <t>Realty - Gabriela Franquiz</t>
  </si>
  <si>
    <t>0156-0727</t>
  </si>
  <si>
    <t>Guarenas, Terrazas del Este</t>
  </si>
  <si>
    <t>Express - Ronald Sanchez</t>
  </si>
  <si>
    <t>0156-0728</t>
  </si>
  <si>
    <t>La Trinidad, Castillejo</t>
  </si>
  <si>
    <t>Alianza Jennifer Perez</t>
  </si>
  <si>
    <t>0156-0729</t>
  </si>
  <si>
    <t>0156-0730</t>
  </si>
  <si>
    <t>0156-0731</t>
  </si>
  <si>
    <t>Villa Heroica</t>
  </si>
  <si>
    <t>0156-0732</t>
  </si>
  <si>
    <t>Nueva Casarapa, El Fortin</t>
  </si>
  <si>
    <t>Life - Luz Villahermosa</t>
  </si>
  <si>
    <t>0156-0733</t>
  </si>
  <si>
    <t>Junio</t>
  </si>
  <si>
    <t>0156-0734</t>
  </si>
  <si>
    <t>C.C. Castillejo, PB</t>
  </si>
  <si>
    <t>0156-0735</t>
  </si>
  <si>
    <t>Alianza con Jennifer</t>
  </si>
  <si>
    <t>Jennifer</t>
  </si>
  <si>
    <t>0156-0736</t>
  </si>
  <si>
    <t>0156-0737</t>
  </si>
  <si>
    <t>Carniceria 2 -Trapichito, Guarenas</t>
  </si>
  <si>
    <t>Carniceria - Trapichito, Guarenas</t>
  </si>
  <si>
    <t>0156-0738</t>
  </si>
  <si>
    <t>Nueva Casarapa, La Hacienda</t>
  </si>
  <si>
    <t>Champions - Yosmaira Villanera</t>
  </si>
  <si>
    <t>Frigorifico Super Carne 3000 (Super Carne 6)</t>
  </si>
  <si>
    <t>Local Fondo de Comercio</t>
  </si>
  <si>
    <t>0156-0739</t>
  </si>
  <si>
    <t>0156-0740</t>
  </si>
  <si>
    <t>Frigorifico Super Carne Guarenas</t>
  </si>
  <si>
    <t>0156-0741</t>
  </si>
  <si>
    <t>Frigorico Super Carne Guatire</t>
  </si>
  <si>
    <t>0156-0742</t>
  </si>
  <si>
    <t>Terrazas de Buenaventura II</t>
  </si>
  <si>
    <t>0156-0743</t>
  </si>
  <si>
    <t>Zona Industrial Cloris</t>
  </si>
  <si>
    <t>VIP Las Mercedes - Enysabel</t>
  </si>
  <si>
    <t>0156-0744</t>
  </si>
  <si>
    <t>Puerta del Bosque, Las Rosas</t>
  </si>
  <si>
    <t>0156-0745</t>
  </si>
  <si>
    <t>Ciudad Casarapa Parcela 1</t>
  </si>
  <si>
    <t>INMUEBLE REFERIDO POR HAYDEE</t>
  </si>
  <si>
    <t>0156-0746</t>
  </si>
  <si>
    <t>Villas de Fuente Mar</t>
  </si>
  <si>
    <t>0156-0747</t>
  </si>
  <si>
    <t>Negocio</t>
  </si>
  <si>
    <t>Frigorifico Super Carne, Guatire</t>
  </si>
  <si>
    <t>0156-0748</t>
  </si>
  <si>
    <t>Licoreria Guarenas, Guatire</t>
  </si>
  <si>
    <t>0156-0749</t>
  </si>
  <si>
    <t>0156-0750</t>
  </si>
  <si>
    <t>Carniceria, Guarenas</t>
  </si>
  <si>
    <t>0156-0751</t>
  </si>
  <si>
    <t>C.C. BuenaVentura</t>
  </si>
  <si>
    <t>0156-0752</t>
  </si>
  <si>
    <t>Terrazas de San Pedro I</t>
  </si>
  <si>
    <t>0156-0753</t>
  </si>
  <si>
    <t>Nueva Casarapa, La Molienda</t>
  </si>
  <si>
    <t>INMUEBLE REFERIDO POR GLADYS</t>
  </si>
  <si>
    <t>0156-0754</t>
  </si>
  <si>
    <t>Guatire Plaza, Plaza Oro</t>
  </si>
  <si>
    <t>0156-0755</t>
  </si>
  <si>
    <t>0156-0756</t>
  </si>
  <si>
    <t>Parque Habitat</t>
  </si>
  <si>
    <t>Presidente Condominio</t>
  </si>
  <si>
    <t>0156-0757</t>
  </si>
  <si>
    <t>La Trinidad Castilljeo</t>
  </si>
  <si>
    <t>Propietario pago la comision</t>
  </si>
  <si>
    <t>La Trinidad Castillejo</t>
  </si>
  <si>
    <t>Julio</t>
  </si>
  <si>
    <t>0156-0758</t>
  </si>
  <si>
    <t>Carniceria 4 Esquinas, Guatire</t>
  </si>
  <si>
    <t>0156-0759</t>
  </si>
  <si>
    <t>Carniceria, Centro Guarenas</t>
  </si>
  <si>
    <t>Alianza con Enrique Oliveri</t>
  </si>
  <si>
    <t>Alianza con Doris Cornejo</t>
  </si>
  <si>
    <t>Candy</t>
  </si>
  <si>
    <t>0156-0760</t>
  </si>
  <si>
    <t>Costa Grande, Higuerote</t>
  </si>
  <si>
    <t>0156-0761</t>
  </si>
  <si>
    <t>Parque Palma, Higuerote</t>
  </si>
  <si>
    <t>Alianza con José Castellanos</t>
  </si>
  <si>
    <t>Alianza con Maria Daniela Villegas</t>
  </si>
  <si>
    <t>0156-0762</t>
  </si>
  <si>
    <t>Muralla Arriba</t>
  </si>
  <si>
    <t>0156-0763</t>
  </si>
  <si>
    <t>Licoreria</t>
  </si>
  <si>
    <t>Guarenas</t>
  </si>
  <si>
    <t>0156-0764</t>
  </si>
  <si>
    <t>La Alabarda, Castillejo</t>
  </si>
  <si>
    <t>0156-0765</t>
  </si>
  <si>
    <t>Buenaventura suites</t>
  </si>
  <si>
    <t>0156-0766</t>
  </si>
  <si>
    <t>Habitat - Lizmar Larez</t>
  </si>
  <si>
    <t>0156-0767</t>
  </si>
  <si>
    <t>0156-0768</t>
  </si>
  <si>
    <t>C.C. Castillejo, Piso 1</t>
  </si>
  <si>
    <t>Maria Daniela</t>
  </si>
  <si>
    <t>0156-0769</t>
  </si>
  <si>
    <t>0156-0770</t>
  </si>
  <si>
    <t>0156-0771</t>
  </si>
  <si>
    <t>Por Zelle</t>
  </si>
  <si>
    <t>0156-0772</t>
  </si>
  <si>
    <t>0156-0773</t>
  </si>
  <si>
    <t>Alianza Con Castellanos</t>
  </si>
  <si>
    <t>Reserva por Zelle</t>
  </si>
  <si>
    <t>0156-0774</t>
  </si>
  <si>
    <t>0156-0775</t>
  </si>
  <si>
    <t>0156-0778</t>
  </si>
  <si>
    <t>Las Bonitas, Castillejo</t>
  </si>
  <si>
    <t>0156-0779</t>
  </si>
  <si>
    <t>Jardin de Higuerote, Brion</t>
  </si>
  <si>
    <t>Altitud - Maria Calderon</t>
  </si>
  <si>
    <t>0156-0780</t>
  </si>
  <si>
    <t>Nva. Casarapa, La Molienda</t>
  </si>
  <si>
    <t>0156-0781</t>
  </si>
  <si>
    <t>Alianza con Enrique</t>
  </si>
  <si>
    <t>Alianza con Doris</t>
  </si>
  <si>
    <t>0156-0782</t>
  </si>
  <si>
    <t>Canaima IV</t>
  </si>
  <si>
    <t>Innova - Angelica Lacruz (CHILE)</t>
  </si>
  <si>
    <t>Vicente Emilio Sojo, Guatire</t>
  </si>
  <si>
    <t>C.C. Trapichito, Guarenas</t>
  </si>
  <si>
    <t>Calle Comercio, Guarenas</t>
  </si>
  <si>
    <t>Villas del Este, Guatire</t>
  </si>
  <si>
    <t>Premier - Suhaili Angulo Cabana</t>
  </si>
  <si>
    <t>0156-0776</t>
  </si>
  <si>
    <t>0156-0777</t>
  </si>
  <si>
    <t>C.C. Vista Place</t>
  </si>
  <si>
    <t>Luis Leon</t>
  </si>
  <si>
    <t xml:space="preserve">Alianza con </t>
  </si>
  <si>
    <t>Aconcagua, Guarenas</t>
  </si>
  <si>
    <t>Casa Bonita, Villa Heroica</t>
  </si>
  <si>
    <t>Resid Aqua, Pto Encantado</t>
  </si>
  <si>
    <t>Monasterio</t>
  </si>
  <si>
    <t>Residencias Boulevard</t>
  </si>
  <si>
    <t>Alianza con Jesenia Caringi</t>
  </si>
  <si>
    <t>Alianza con Karlis Rivero</t>
  </si>
  <si>
    <t>Alianza Century 21</t>
  </si>
  <si>
    <t>Conj. Res. Los Gabanes, Higuerote</t>
  </si>
  <si>
    <t>Escala -Alicia Lopez Tavares</t>
  </si>
  <si>
    <t>0156-0783</t>
  </si>
  <si>
    <t>Calle 9 de Diciembre</t>
  </si>
  <si>
    <t>Los Olivos, Guatire</t>
  </si>
  <si>
    <t>Colinas de Mondragon, Higuerote</t>
  </si>
  <si>
    <t>Los Chaguaramos, Valle Arriba</t>
  </si>
  <si>
    <t>0156-0784</t>
  </si>
  <si>
    <t>0156-0785</t>
  </si>
  <si>
    <t>0156-0786</t>
  </si>
  <si>
    <t>Premier - Maria Bassignano</t>
  </si>
  <si>
    <t>0156-0787</t>
  </si>
  <si>
    <t>Muralla Arriba, El Ingenio</t>
  </si>
  <si>
    <t>GALPON DE 1.710 Mts2,  SCTOR LAS FLORES</t>
  </si>
  <si>
    <t>Momentum II - Vitor Manuel Da Silva</t>
  </si>
  <si>
    <t>Externo</t>
  </si>
  <si>
    <t>Karlis</t>
  </si>
  <si>
    <t>1</t>
  </si>
  <si>
    <t>24/09/2025</t>
  </si>
  <si>
    <t>01/10/2025</t>
  </si>
  <si>
    <t>0156-0788</t>
  </si>
  <si>
    <t>Valle Arriba, Capri</t>
  </si>
  <si>
    <t>Agosto</t>
  </si>
  <si>
    <t>Septiembre</t>
  </si>
  <si>
    <t>Octubre</t>
  </si>
  <si>
    <t>0156-0789</t>
  </si>
  <si>
    <t>Puerto Encantado, Pueblo Viejo II</t>
  </si>
  <si>
    <t>0156-0790</t>
  </si>
  <si>
    <t>Mediterrane, Agua Sal</t>
  </si>
  <si>
    <t>0156-0791</t>
  </si>
  <si>
    <t>Higuerote, Cabo Mall</t>
  </si>
  <si>
    <t>0156-0792</t>
  </si>
  <si>
    <t>0156-0794</t>
  </si>
  <si>
    <t>0156-0793</t>
  </si>
  <si>
    <t>0156-0795</t>
  </si>
  <si>
    <t>Higuerote, Bodegon AVELDA</t>
  </si>
  <si>
    <t>Panaderia</t>
  </si>
  <si>
    <t>Higuerote, Centro</t>
  </si>
  <si>
    <t>Atlantis - Maria José Ferlicchia</t>
  </si>
  <si>
    <t>Residencias Boulevard, Guatire</t>
  </si>
  <si>
    <t>Alianza Con Yennifer Sanchez</t>
  </si>
  <si>
    <t>Villas Miravila, Castillejo</t>
  </si>
  <si>
    <t>0156-0796</t>
  </si>
  <si>
    <t>0156-0797</t>
  </si>
  <si>
    <t>Las Rosa, El Istmo</t>
  </si>
  <si>
    <t>Altitud - Libia Angarita Echevarria</t>
  </si>
  <si>
    <t>Higuerote, Pueblo - Tasca</t>
  </si>
  <si>
    <t>Higuerote, Pueblo - El Sitio</t>
  </si>
  <si>
    <t>Guarenas, Licoreria</t>
  </si>
  <si>
    <t>Delta - Luis León (Freddy)</t>
  </si>
  <si>
    <t>Residencias Pompa, Guatire</t>
  </si>
  <si>
    <t>Edificio</t>
  </si>
  <si>
    <t>Ciudad Balneario, Higuerote</t>
  </si>
  <si>
    <t>Gold - Vanessa Tadeo</t>
  </si>
  <si>
    <t>Concor Plaza, Montalban - Caracas</t>
  </si>
  <si>
    <t>Terrazas Altos de San Pedro II</t>
  </si>
  <si>
    <t>Villa</t>
  </si>
  <si>
    <t>Shaboo Laguna (K26), Higuerote</t>
  </si>
  <si>
    <t>Shaboo Laguna (K27), Higuerote</t>
  </si>
  <si>
    <t>Alianza con Carmen Ugueto</t>
  </si>
  <si>
    <t>Alianza con Rochi</t>
  </si>
  <si>
    <t>Rochi</t>
  </si>
  <si>
    <t>Jessi</t>
  </si>
  <si>
    <t>Jeniffer</t>
  </si>
  <si>
    <t>Carmen</t>
  </si>
  <si>
    <t>Noviembre</t>
  </si>
  <si>
    <t>C.C. Buenaventura</t>
  </si>
  <si>
    <t>C.C. Buenaventura, Expoventura</t>
  </si>
  <si>
    <t>0156-0798</t>
  </si>
  <si>
    <t>0156-0799</t>
  </si>
  <si>
    <t>Eiffel, Castillejo</t>
  </si>
  <si>
    <t>Invalhouse</t>
  </si>
  <si>
    <t>Alianza con Invalhouse</t>
  </si>
  <si>
    <t>Century 21</t>
  </si>
  <si>
    <t>Diciembre</t>
  </si>
  <si>
    <t>Mirador del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</si>
</sst>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name val="Arial"/>
      <family val="2"/>
    </font>
    <font>
      <sz val="12"/>
      <color theme="1"/>
      <name val="Arial"/>
      <family val="2"/>
    </font>
    <font>
      <b/>
      <u val="double"/>
      <sz val="14"/>
      <color rgb="FF0070C0"/>
      <name val="Arial"/>
      <family val="2"/>
    </font>
    <font>
      <b/>
      <sz val="12"/>
      <color theme="0"/>
      <name val="Arial"/>
      <family val="2"/>
    </font>
    <font>
      <b/>
      <sz val="9"/>
      <color theme="4" tint="-0.249977111117893"/>
      <name val="Arial"/>
      <family val="2"/>
    </font>
    <font>
      <sz val="12"/>
      <name val="Arial"/>
      <family val="2"/>
    </font>
    <font>
      <b/>
      <sz val="11"/>
      <color theme="4" tint="-0.249977111117893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u val="double"/>
      <sz val="12"/>
      <color rgb="FF0070C0"/>
      <name val="Arial"/>
      <family val="2"/>
    </font>
    <font>
      <u val="double"/>
      <sz val="12"/>
      <color rgb="FF0070C0"/>
      <name val="Arial"/>
      <family val="2"/>
    </font>
    <font>
      <b/>
      <sz val="10"/>
      <color rgb="FFFF0000"/>
      <name val="Arial"/>
      <family val="2"/>
    </font>
    <font>
      <sz val="12"/>
      <color rgb="FF7030A0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12"/>
      <color rgb="FFFF0000"/>
      <name val="Arial"/>
      <family val="2"/>
    </font>
    <font>
      <sz val="9"/>
      <color rgb="FF000000"/>
      <name val="Arial"/>
      <family val="2"/>
    </font>
    <font>
      <sz val="12"/>
      <color theme="0"/>
      <name val="Arial"/>
      <family val="2"/>
    </font>
    <font>
      <sz val="11"/>
      <color rgb="FF51515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44"/>
      </patternFill>
    </fill>
    <fill>
      <patternFill patternType="solid">
        <fgColor theme="8" tint="-0.249977111117893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4" fontId="9" fillId="0" borderId="8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/>
    <xf numFmtId="0" fontId="0" fillId="0" borderId="9" xfId="0" applyBorder="1"/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/>
    <xf numFmtId="14" fontId="9" fillId="0" borderId="11" xfId="0" applyNumberFormat="1" applyFont="1" applyBorder="1" applyAlignment="1">
      <alignment horizontal="center" vertical="center"/>
    </xf>
    <xf numFmtId="4" fontId="9" fillId="0" borderId="11" xfId="0" applyNumberFormat="1" applyFont="1" applyBorder="1" applyAlignment="1">
      <alignment horizontal="center" vertical="center"/>
    </xf>
    <xf numFmtId="0" fontId="14" fillId="0" borderId="11" xfId="0" applyFont="1" applyBorder="1"/>
    <xf numFmtId="0" fontId="13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5" fillId="0" borderId="14" xfId="0" applyNumberFormat="1" applyFont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0" fillId="0" borderId="8" xfId="0" applyBorder="1"/>
    <xf numFmtId="0" fontId="19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4" fontId="5" fillId="0" borderId="17" xfId="0" applyNumberFormat="1" applyFont="1" applyBorder="1" applyAlignment="1">
      <alignment horizontal="center" vertical="center"/>
    </xf>
    <xf numFmtId="4" fontId="5" fillId="0" borderId="18" xfId="0" applyNumberFormat="1" applyFont="1" applyBorder="1" applyAlignment="1">
      <alignment horizontal="center" vertical="center"/>
    </xf>
    <xf numFmtId="4" fontId="19" fillId="0" borderId="1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49" fontId="22" fillId="3" borderId="2" xfId="0" applyNumberFormat="1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23" fillId="8" borderId="8" xfId="0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/>
    </xf>
    <xf numFmtId="49" fontId="9" fillId="0" borderId="8" xfId="0" applyNumberFormat="1" applyFont="1" applyBorder="1" applyAlignment="1">
      <alignment horizontal="center" vertical="center" wrapText="1"/>
    </xf>
    <xf numFmtId="0" fontId="5" fillId="0" borderId="0" xfId="0" applyFont="1"/>
    <xf numFmtId="0" fontId="7" fillId="2" borderId="26" xfId="0" applyFont="1" applyFill="1" applyBorder="1" applyAlignment="1">
      <alignment horizontal="center" vertical="center"/>
    </xf>
    <xf numFmtId="49" fontId="7" fillId="3" borderId="23" xfId="0" applyNumberFormat="1" applyFont="1" applyFill="1" applyBorder="1" applyAlignment="1">
      <alignment horizontal="center" vertical="center" wrapText="1"/>
    </xf>
    <xf numFmtId="49" fontId="7" fillId="3" borderId="25" xfId="0" applyNumberFormat="1" applyFont="1" applyFill="1" applyBorder="1" applyAlignment="1">
      <alignment horizontal="center" vertical="center" wrapText="1"/>
    </xf>
    <xf numFmtId="4" fontId="19" fillId="0" borderId="8" xfId="0" applyNumberFormat="1" applyFont="1" applyBorder="1" applyAlignment="1">
      <alignment horizontal="center" vertical="center"/>
    </xf>
    <xf numFmtId="0" fontId="5" fillId="0" borderId="8" xfId="0" applyFont="1" applyBorder="1"/>
    <xf numFmtId="4" fontId="5" fillId="0" borderId="8" xfId="0" applyNumberFormat="1" applyFont="1" applyBorder="1"/>
    <xf numFmtId="0" fontId="20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14" fontId="5" fillId="9" borderId="8" xfId="0" applyNumberFormat="1" applyFont="1" applyFill="1" applyBorder="1" applyAlignment="1">
      <alignment horizontal="center" vertical="center"/>
    </xf>
    <xf numFmtId="4" fontId="5" fillId="9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8" xfId="0" applyNumberFormat="1" applyBorder="1"/>
    <xf numFmtId="49" fontId="21" fillId="3" borderId="4" xfId="0" applyNumberFormat="1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/>
    </xf>
    <xf numFmtId="14" fontId="5" fillId="5" borderId="13" xfId="0" applyNumberFormat="1" applyFont="1" applyFill="1" applyBorder="1" applyAlignment="1">
      <alignment horizontal="center" vertical="center"/>
    </xf>
    <xf numFmtId="4" fontId="5" fillId="5" borderId="13" xfId="0" applyNumberFormat="1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4" fontId="5" fillId="0" borderId="28" xfId="0" applyNumberFormat="1" applyFont="1" applyBorder="1" applyAlignment="1">
      <alignment horizontal="center" vertical="center"/>
    </xf>
    <xf numFmtId="4" fontId="5" fillId="0" borderId="28" xfId="0" applyNumberFormat="1" applyFont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14" fontId="5" fillId="9" borderId="13" xfId="0" applyNumberFormat="1" applyFont="1" applyFill="1" applyBorder="1" applyAlignment="1">
      <alignment horizontal="center" vertical="center"/>
    </xf>
    <xf numFmtId="4" fontId="5" fillId="9" borderId="13" xfId="0" applyNumberFormat="1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28" fillId="7" borderId="8" xfId="0" applyFont="1" applyFill="1" applyBorder="1" applyAlignment="1">
      <alignment vertical="center"/>
    </xf>
    <xf numFmtId="0" fontId="0" fillId="0" borderId="8" xfId="0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4" fontId="5" fillId="0" borderId="0" xfId="0" applyNumberFormat="1" applyFont="1"/>
    <xf numFmtId="0" fontId="9" fillId="0" borderId="0" xfId="0" applyFont="1" applyAlignment="1">
      <alignment horizontal="center"/>
    </xf>
    <xf numFmtId="0" fontId="7" fillId="7" borderId="1" xfId="0" applyFont="1" applyFill="1" applyBorder="1" applyAlignment="1">
      <alignment horizontal="right" vertical="center"/>
    </xf>
    <xf numFmtId="49" fontId="7" fillId="3" borderId="24" xfId="0" applyNumberFormat="1" applyFont="1" applyFill="1" applyBorder="1" applyAlignment="1">
      <alignment horizontal="center" vertical="center" wrapText="1"/>
    </xf>
    <xf numFmtId="49" fontId="21" fillId="3" borderId="24" xfId="0" applyNumberFormat="1" applyFont="1" applyFill="1" applyBorder="1" applyAlignment="1">
      <alignment horizontal="center" vertical="center" wrapText="1"/>
    </xf>
    <xf numFmtId="4" fontId="7" fillId="3" borderId="2" xfId="0" applyNumberFormat="1" applyFont="1" applyFill="1" applyBorder="1" applyAlignment="1">
      <alignment horizontal="center" vertical="center" wrapText="1"/>
    </xf>
    <xf numFmtId="4" fontId="7" fillId="3" borderId="24" xfId="0" applyNumberFormat="1" applyFont="1" applyFill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14" fillId="0" borderId="0" xfId="0" applyFont="1"/>
    <xf numFmtId="0" fontId="31" fillId="0" borderId="8" xfId="0" applyFont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14" fontId="5" fillId="6" borderId="8" xfId="0" applyNumberFormat="1" applyFont="1" applyFill="1" applyBorder="1" applyAlignment="1">
      <alignment horizontal="center" vertical="center"/>
    </xf>
    <xf numFmtId="4" fontId="5" fillId="6" borderId="8" xfId="0" applyNumberFormat="1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9" fillId="11" borderId="28" xfId="0" applyFont="1" applyFill="1" applyBorder="1" applyAlignment="1">
      <alignment horizontal="center" vertical="center"/>
    </xf>
    <xf numFmtId="14" fontId="5" fillId="11" borderId="28" xfId="0" applyNumberFormat="1" applyFont="1" applyFill="1" applyBorder="1" applyAlignment="1">
      <alignment horizontal="center" vertical="center"/>
    </xf>
    <xf numFmtId="4" fontId="5" fillId="11" borderId="28" xfId="0" applyNumberFormat="1" applyFont="1" applyFill="1" applyBorder="1" applyAlignment="1">
      <alignment horizontal="center" vertical="center"/>
    </xf>
    <xf numFmtId="0" fontId="18" fillId="11" borderId="28" xfId="0" applyFon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 wrapText="1"/>
    </xf>
    <xf numFmtId="14" fontId="5" fillId="11" borderId="8" xfId="0" applyNumberFormat="1" applyFont="1" applyFill="1" applyBorder="1" applyAlignment="1">
      <alignment horizontal="center" vertical="center"/>
    </xf>
    <xf numFmtId="4" fontId="5" fillId="11" borderId="8" xfId="0" applyNumberFormat="1" applyFont="1" applyFill="1" applyBorder="1" applyAlignment="1">
      <alignment horizontal="center" vertical="center"/>
    </xf>
    <xf numFmtId="14" fontId="19" fillId="11" borderId="8" xfId="0" applyNumberFormat="1" applyFont="1" applyFill="1" applyBorder="1" applyAlignment="1">
      <alignment horizontal="center" vertical="center"/>
    </xf>
    <xf numFmtId="4" fontId="5" fillId="11" borderId="11" xfId="0" applyNumberFormat="1" applyFont="1" applyFill="1" applyBorder="1" applyAlignment="1">
      <alignment horizontal="center"/>
    </xf>
    <xf numFmtId="0" fontId="18" fillId="11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center" vertical="center"/>
    </xf>
    <xf numFmtId="4" fontId="19" fillId="11" borderId="13" xfId="0" applyNumberFormat="1" applyFont="1" applyFill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4" fontId="0" fillId="0" borderId="0" xfId="0" applyNumberFormat="1"/>
    <xf numFmtId="0" fontId="19" fillId="0" borderId="8" xfId="0" applyFont="1" applyBorder="1" applyAlignment="1">
      <alignment horizontal="center"/>
    </xf>
    <xf numFmtId="4" fontId="13" fillId="0" borderId="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4" fontId="5" fillId="0" borderId="13" xfId="0" applyNumberFormat="1" applyFont="1" applyBorder="1" applyAlignment="1">
      <alignment horizontal="center"/>
    </xf>
    <xf numFmtId="4" fontId="5" fillId="0" borderId="13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34" fillId="0" borderId="0" xfId="0" applyFont="1"/>
    <xf numFmtId="0" fontId="0" fillId="0" borderId="8" xfId="0" applyBorder="1" applyAlignment="1">
      <alignment horizontal="left" vertical="center"/>
    </xf>
    <xf numFmtId="2" fontId="5" fillId="0" borderId="0" xfId="0" applyNumberFormat="1" applyFont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14" fontId="9" fillId="5" borderId="8" xfId="0" applyNumberFormat="1" applyFont="1" applyFill="1" applyBorder="1" applyAlignment="1">
      <alignment horizontal="center" vertical="center"/>
    </xf>
    <xf numFmtId="4" fontId="9" fillId="5" borderId="8" xfId="0" applyNumberFormat="1" applyFont="1" applyFill="1" applyBorder="1" applyAlignment="1">
      <alignment horizontal="center" vertical="center"/>
    </xf>
    <xf numFmtId="0" fontId="35" fillId="5" borderId="8" xfId="0" applyFont="1" applyFill="1" applyBorder="1" applyAlignment="1">
      <alignment horizontal="center" vertical="center"/>
    </xf>
    <xf numFmtId="0" fontId="36" fillId="5" borderId="8" xfId="0" applyFont="1" applyFill="1" applyBorder="1" applyAlignment="1">
      <alignment horizontal="center" vertical="center"/>
    </xf>
    <xf numFmtId="14" fontId="36" fillId="5" borderId="8" xfId="0" applyNumberFormat="1" applyFont="1" applyFill="1" applyBorder="1" applyAlignment="1">
      <alignment horizontal="center" vertical="center"/>
    </xf>
    <xf numFmtId="4" fontId="36" fillId="5" borderId="8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37" fillId="0" borderId="0" xfId="0" applyFont="1"/>
    <xf numFmtId="49" fontId="38" fillId="0" borderId="32" xfId="0" applyNumberFormat="1" applyFont="1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 vertical="center"/>
    </xf>
    <xf numFmtId="49" fontId="9" fillId="0" borderId="34" xfId="0" applyNumberFormat="1" applyFont="1" applyBorder="1" applyAlignment="1">
      <alignment horizontal="center" vertical="center"/>
    </xf>
    <xf numFmtId="4" fontId="9" fillId="0" borderId="29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2" fillId="7" borderId="19" xfId="0" applyFont="1" applyFill="1" applyBorder="1" applyAlignment="1">
      <alignment horizontal="center" vertical="center"/>
    </xf>
    <xf numFmtId="0" fontId="22" fillId="7" borderId="20" xfId="0" applyFont="1" applyFill="1" applyBorder="1" applyAlignment="1">
      <alignment horizontal="center" vertical="center"/>
    </xf>
    <xf numFmtId="0" fontId="22" fillId="7" borderId="21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right" vertical="center"/>
    </xf>
    <xf numFmtId="49" fontId="7" fillId="7" borderId="6" xfId="0" applyNumberFormat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/>
    </xf>
    <xf numFmtId="49" fontId="7" fillId="7" borderId="5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7" fillId="2" borderId="22" xfId="0" applyNumberFormat="1" applyFont="1" applyFill="1" applyBorder="1" applyAlignment="1">
      <alignment horizontal="center" vertical="center"/>
    </xf>
    <xf numFmtId="49" fontId="7" fillId="2" borderId="23" xfId="0" applyNumberFormat="1" applyFont="1" applyFill="1" applyBorder="1" applyAlignment="1">
      <alignment horizontal="center" vertical="center"/>
    </xf>
    <xf numFmtId="49" fontId="7" fillId="2" borderId="27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24" xfId="0" applyNumberFormat="1" applyFont="1" applyFill="1" applyBorder="1" applyAlignment="1">
      <alignment horizontal="center" vertical="center"/>
    </xf>
    <xf numFmtId="49" fontId="7" fillId="2" borderId="25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0" fillId="7" borderId="32" xfId="0" applyFont="1" applyFill="1" applyBorder="1" applyAlignment="1">
      <alignment horizontal="center" vertical="center"/>
    </xf>
    <xf numFmtId="0" fontId="28" fillId="10" borderId="30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30" fillId="7" borderId="28" xfId="0" applyFont="1" applyFill="1" applyBorder="1" applyAlignment="1">
      <alignment horizontal="center" vertical="center"/>
    </xf>
    <xf numFmtId="0" fontId="30" fillId="7" borderId="29" xfId="0" applyFont="1" applyFill="1" applyBorder="1" applyAlignment="1">
      <alignment horizontal="center" vertical="center"/>
    </xf>
    <xf numFmtId="0" fontId="30" fillId="7" borderId="13" xfId="0" applyFont="1" applyFill="1" applyBorder="1" applyAlignment="1">
      <alignment horizontal="center" vertical="center"/>
    </xf>
    <xf numFmtId="0" fontId="30" fillId="7" borderId="8" xfId="0" applyFont="1" applyFill="1" applyBorder="1" applyAlignment="1">
      <alignment horizontal="center" vertical="center"/>
    </xf>
    <xf numFmtId="0" fontId="30" fillId="7" borderId="33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8" fillId="7" borderId="31" xfId="0" applyFont="1" applyFill="1" applyBorder="1" applyAlignment="1">
      <alignment horizontal="center" vertical="center"/>
    </xf>
    <xf numFmtId="0" fontId="28" fillId="7" borderId="32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29" fillId="7" borderId="32" xfId="0" applyFont="1" applyFill="1" applyBorder="1" applyAlignment="1">
      <alignment horizontal="center" vertical="center"/>
    </xf>
    <xf numFmtId="0" fontId="29" fillId="7" borderId="33" xfId="0" applyFont="1" applyFill="1" applyBorder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30" fillId="7" borderId="33" xfId="0" applyFont="1" applyFill="1" applyBorder="1" applyAlignment="1">
      <alignment horizontal="center" vertical="center" textRotation="45"/>
    </xf>
    <xf numFmtId="0" fontId="30" fillId="7" borderId="0" xfId="0" applyFont="1" applyFill="1" applyAlignment="1">
      <alignment horizontal="center" vertical="center" textRotation="45"/>
    </xf>
    <xf numFmtId="0" fontId="30" fillId="7" borderId="31" xfId="0" applyFont="1" applyFill="1" applyBorder="1" applyAlignment="1">
      <alignment horizontal="center" vertical="center" textRotation="45"/>
    </xf>
    <xf numFmtId="0" fontId="30" fillId="7" borderId="32" xfId="0" applyFont="1" applyFill="1" applyBorder="1" applyAlignment="1">
      <alignment horizontal="center" vertical="center" textRotation="45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DEF7"/>
      <color rgb="FFC0FAD7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A12DD46D-96F6-4BF1-A94F-5556F92329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5E037A4A-C376-4F59-8400-B26B35A95C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266699</xdr:colOff>
      <xdr:row>0</xdr:row>
      <xdr:rowOff>95250</xdr:rowOff>
    </xdr:from>
    <xdr:ext cx="1776941" cy="728133"/>
    <xdr:pic>
      <xdr:nvPicPr>
        <xdr:cNvPr id="3" name="Imagen 2">
          <a:extLst>
            <a:ext uri="{FF2B5EF4-FFF2-40B4-BE49-F238E27FC236}">
              <a16:creationId xmlns:a16="http://schemas.microsoft.com/office/drawing/2014/main" id="{8E2B9794-629C-49DD-A3A0-4349C5404A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9525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38100</xdr:rowOff>
    </xdr:from>
    <xdr:to>
      <xdr:col>2</xdr:col>
      <xdr:colOff>514349</xdr:colOff>
      <xdr:row>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0DB1CE-DF10-4A5D-9285-6F5E171895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" y="38100"/>
          <a:ext cx="178117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38100</xdr:rowOff>
    </xdr:from>
    <xdr:to>
      <xdr:col>2</xdr:col>
      <xdr:colOff>514349</xdr:colOff>
      <xdr:row>4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786C91-12A6-4485-ACFB-DB7A336447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" y="38100"/>
          <a:ext cx="1781175" cy="752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28575</xdr:rowOff>
    </xdr:from>
    <xdr:ext cx="1752600" cy="714375"/>
    <xdr:pic>
      <xdr:nvPicPr>
        <xdr:cNvPr id="3" name="Imagen 2">
          <a:extLst>
            <a:ext uri="{FF2B5EF4-FFF2-40B4-BE49-F238E27FC236}">
              <a16:creationId xmlns:a16="http://schemas.microsoft.com/office/drawing/2014/main" id="{4CB40077-5C65-4855-A70B-57AB05CC38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5"/>
          <a:ext cx="1752600" cy="714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257174</xdr:colOff>
      <xdr:row>0</xdr:row>
      <xdr:rowOff>142875</xdr:rowOff>
    </xdr:from>
    <xdr:ext cx="2447926" cy="942975"/>
    <xdr:pic>
      <xdr:nvPicPr>
        <xdr:cNvPr id="3" name="Imagen 2">
          <a:extLst>
            <a:ext uri="{FF2B5EF4-FFF2-40B4-BE49-F238E27FC236}">
              <a16:creationId xmlns:a16="http://schemas.microsoft.com/office/drawing/2014/main" id="{86321D1C-D2C1-4A42-B661-B6BBA68C92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49" y="142875"/>
          <a:ext cx="2447926" cy="9429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3" name="Imagen 2">
          <a:extLst>
            <a:ext uri="{FF2B5EF4-FFF2-40B4-BE49-F238E27FC236}">
              <a16:creationId xmlns:a16="http://schemas.microsoft.com/office/drawing/2014/main" id="{E9B8731B-D358-439D-96F5-3A2156818A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3" name="Imagen 2">
          <a:extLst>
            <a:ext uri="{FF2B5EF4-FFF2-40B4-BE49-F238E27FC236}">
              <a16:creationId xmlns:a16="http://schemas.microsoft.com/office/drawing/2014/main" id="{7F0DCB13-61EA-4D8A-BE69-59419369F6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AF08EC92-081F-4CF1-AE7E-4073DDB90C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89F4512F-E3B3-4264-9E23-919E1CABF9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F1CF227B-9552-4C13-9AFB-C308C08780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4C231044-1769-47AA-93F7-2437A1A491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6B439FB5-EB21-4FBE-8A57-D25B159375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9A97565A-C562-46A2-810C-7D768287B5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5457051A-1DAB-4580-BB89-5ABCEE8485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57DD5C78-46F2-4007-8264-1E511F2EE8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50F77A30-AF85-4F7D-BADB-8E338820F7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D814703C-D09D-4261-AA35-593B94099F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409D-478F-427D-8394-C24CBEF32358}">
  <sheetPr filterMode="1">
    <tabColor theme="7" tint="0.79998168889431442"/>
  </sheetPr>
  <dimension ref="A1:M115"/>
  <sheetViews>
    <sheetView workbookViewId="0">
      <selection activeCell="B66" sqref="B66:F66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7.140625" bestFit="1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.7109375" customWidth="1"/>
    <col min="13" max="13" width="30.5703125" customWidth="1"/>
  </cols>
  <sheetData>
    <row r="1" spans="1:13" x14ac:dyDescent="0.25">
      <c r="L1" s="1"/>
      <c r="M1" s="2"/>
    </row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  <c r="L2" s="1"/>
      <c r="M2" s="2"/>
    </row>
    <row r="3" spans="1:13" ht="18" x14ac:dyDescent="0.25">
      <c r="A3" s="1"/>
      <c r="B3" s="188" t="s">
        <v>0</v>
      </c>
      <c r="C3" s="188"/>
      <c r="D3" s="188"/>
      <c r="E3" s="188"/>
      <c r="F3" s="188"/>
      <c r="G3" s="188"/>
      <c r="H3" s="188"/>
      <c r="I3" s="188"/>
      <c r="J3" s="188"/>
      <c r="K3" s="188"/>
      <c r="L3" s="1"/>
      <c r="M3" s="2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  <c r="L4" s="1"/>
      <c r="M4" s="2"/>
    </row>
    <row r="5" spans="1:13" ht="15.75" thickBot="1" x14ac:dyDescent="0.3">
      <c r="A5" s="1"/>
      <c r="I5" s="5"/>
      <c r="L5" s="1"/>
      <c r="M5" s="2"/>
    </row>
    <row r="6" spans="1:13" ht="32.25" thickBot="1" x14ac:dyDescent="0.3">
      <c r="A6" s="6" t="s">
        <v>2</v>
      </c>
      <c r="B6" s="7" t="s">
        <v>3</v>
      </c>
      <c r="C6" s="8" t="s">
        <v>4</v>
      </c>
      <c r="D6" s="9" t="s">
        <v>5</v>
      </c>
      <c r="E6" s="9" t="s">
        <v>6</v>
      </c>
      <c r="F6" s="10" t="s">
        <v>7</v>
      </c>
      <c r="G6" s="10" t="s">
        <v>8</v>
      </c>
      <c r="H6" s="9" t="s">
        <v>9</v>
      </c>
      <c r="I6" s="10" t="s">
        <v>10</v>
      </c>
      <c r="J6" s="9" t="s">
        <v>11</v>
      </c>
      <c r="K6" s="10" t="s">
        <v>12</v>
      </c>
      <c r="L6" s="11" t="s">
        <v>13</v>
      </c>
      <c r="M6" s="11" t="s">
        <v>14</v>
      </c>
    </row>
    <row r="7" spans="1:13" ht="15.75" hidden="1" thickBot="1" x14ac:dyDescent="0.3">
      <c r="A7" s="185" t="s">
        <v>15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7"/>
    </row>
    <row r="8" spans="1:13" hidden="1" x14ac:dyDescent="0.25">
      <c r="A8" s="12">
        <v>4</v>
      </c>
      <c r="B8" s="13" t="s">
        <v>21</v>
      </c>
      <c r="C8" s="13" t="s">
        <v>22</v>
      </c>
      <c r="D8" s="13">
        <v>219744</v>
      </c>
      <c r="E8" s="13" t="s">
        <v>17</v>
      </c>
      <c r="F8" s="13" t="s">
        <v>23</v>
      </c>
      <c r="G8" s="13" t="s">
        <v>24</v>
      </c>
      <c r="H8" s="13" t="s">
        <v>25</v>
      </c>
      <c r="I8" s="14">
        <v>45303</v>
      </c>
      <c r="J8" s="14">
        <v>45306</v>
      </c>
      <c r="K8" s="15">
        <v>300</v>
      </c>
      <c r="L8" s="17"/>
      <c r="M8" s="16"/>
    </row>
    <row r="9" spans="1:13" hidden="1" x14ac:dyDescent="0.25">
      <c r="A9" s="12">
        <v>6</v>
      </c>
      <c r="B9" s="13" t="s">
        <v>21</v>
      </c>
      <c r="C9" s="13" t="s">
        <v>28</v>
      </c>
      <c r="D9" s="13">
        <v>220095</v>
      </c>
      <c r="E9" s="13" t="s">
        <v>17</v>
      </c>
      <c r="F9" s="13" t="s">
        <v>29</v>
      </c>
      <c r="G9" s="13" t="s">
        <v>19</v>
      </c>
      <c r="H9" s="13" t="s">
        <v>20</v>
      </c>
      <c r="I9" s="14">
        <v>45307</v>
      </c>
      <c r="J9" s="14">
        <v>45308</v>
      </c>
      <c r="K9" s="15">
        <v>9500</v>
      </c>
      <c r="L9" s="17"/>
      <c r="M9" s="16"/>
    </row>
    <row r="10" spans="1:13" hidden="1" x14ac:dyDescent="0.25">
      <c r="A10" s="12">
        <v>8</v>
      </c>
      <c r="B10" s="18" t="s">
        <v>31</v>
      </c>
      <c r="C10" s="18" t="s">
        <v>32</v>
      </c>
      <c r="D10" s="18">
        <v>220453</v>
      </c>
      <c r="E10" s="18" t="s">
        <v>33</v>
      </c>
      <c r="F10" s="18" t="s">
        <v>34</v>
      </c>
      <c r="G10" s="18" t="s">
        <v>19</v>
      </c>
      <c r="H10" s="18" t="s">
        <v>20</v>
      </c>
      <c r="I10" s="19">
        <v>45292</v>
      </c>
      <c r="J10" s="19">
        <v>45309</v>
      </c>
      <c r="K10" s="20">
        <v>30000</v>
      </c>
      <c r="L10" s="17"/>
      <c r="M10" s="21"/>
    </row>
    <row r="11" spans="1:13" hidden="1" x14ac:dyDescent="0.25">
      <c r="A11" s="12">
        <v>9</v>
      </c>
      <c r="B11" s="18" t="s">
        <v>31</v>
      </c>
      <c r="C11" s="18" t="s">
        <v>35</v>
      </c>
      <c r="D11" s="18">
        <v>220458</v>
      </c>
      <c r="E11" s="18" t="s">
        <v>36</v>
      </c>
      <c r="F11" s="18" t="s">
        <v>37</v>
      </c>
      <c r="G11" s="18" t="s">
        <v>19</v>
      </c>
      <c r="H11" s="18" t="s">
        <v>20</v>
      </c>
      <c r="I11" s="19">
        <v>45074</v>
      </c>
      <c r="J11" s="19">
        <v>45309</v>
      </c>
      <c r="K11" s="20">
        <v>15000</v>
      </c>
      <c r="L11" s="17"/>
      <c r="M11" s="21"/>
    </row>
    <row r="12" spans="1:13" x14ac:dyDescent="0.25">
      <c r="A12" s="12">
        <v>11</v>
      </c>
      <c r="B12" s="13" t="s">
        <v>16</v>
      </c>
      <c r="C12" s="13" t="s">
        <v>38</v>
      </c>
      <c r="D12" s="13">
        <v>219963</v>
      </c>
      <c r="E12" s="13" t="s">
        <v>36</v>
      </c>
      <c r="F12" s="13" t="s">
        <v>39</v>
      </c>
      <c r="G12" s="13" t="s">
        <v>19</v>
      </c>
      <c r="H12" s="13" t="s">
        <v>20</v>
      </c>
      <c r="I12" s="14">
        <v>45304</v>
      </c>
      <c r="J12" s="14">
        <v>45306</v>
      </c>
      <c r="K12" s="15">
        <v>60000</v>
      </c>
      <c r="L12" s="17"/>
      <c r="M12" s="16"/>
    </row>
    <row r="13" spans="1:13" hidden="1" x14ac:dyDescent="0.25">
      <c r="A13" s="12">
        <v>12</v>
      </c>
      <c r="B13" s="18" t="s">
        <v>40</v>
      </c>
      <c r="C13" s="18" t="s">
        <v>41</v>
      </c>
      <c r="D13" s="18">
        <v>220696</v>
      </c>
      <c r="E13" s="18" t="s">
        <v>42</v>
      </c>
      <c r="F13" s="18" t="s">
        <v>43</v>
      </c>
      <c r="G13" s="18" t="s">
        <v>19</v>
      </c>
      <c r="H13" s="18" t="s">
        <v>20</v>
      </c>
      <c r="I13" s="19">
        <v>45307</v>
      </c>
      <c r="J13" s="19">
        <v>45310</v>
      </c>
      <c r="K13" s="20">
        <v>55000</v>
      </c>
      <c r="L13" s="17"/>
      <c r="M13" s="21"/>
    </row>
    <row r="14" spans="1:13" hidden="1" x14ac:dyDescent="0.25">
      <c r="A14" s="22">
        <v>24</v>
      </c>
      <c r="B14" s="18" t="s">
        <v>21</v>
      </c>
      <c r="C14" s="18" t="s">
        <v>47</v>
      </c>
      <c r="D14" s="18">
        <v>221927</v>
      </c>
      <c r="E14" s="18" t="s">
        <v>48</v>
      </c>
      <c r="F14" s="18" t="s">
        <v>49</v>
      </c>
      <c r="G14" s="18" t="s">
        <v>19</v>
      </c>
      <c r="H14" s="18" t="s">
        <v>20</v>
      </c>
      <c r="I14" s="14">
        <v>45313</v>
      </c>
      <c r="J14" s="14">
        <v>45320</v>
      </c>
      <c r="K14" s="15">
        <v>28000</v>
      </c>
      <c r="L14" s="23"/>
      <c r="M14" s="24"/>
    </row>
    <row r="15" spans="1:13" ht="15.75" hidden="1" thickBot="1" x14ac:dyDescent="0.3">
      <c r="A15" s="185" t="s">
        <v>51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7"/>
    </row>
    <row r="16" spans="1:13" hidden="1" x14ac:dyDescent="0.25">
      <c r="A16" s="22">
        <v>3</v>
      </c>
      <c r="B16" s="18" t="s">
        <v>21</v>
      </c>
      <c r="C16" s="18" t="s">
        <v>53</v>
      </c>
      <c r="D16" s="18">
        <v>224052</v>
      </c>
      <c r="E16" s="18" t="s">
        <v>17</v>
      </c>
      <c r="F16" s="18" t="s">
        <v>54</v>
      </c>
      <c r="G16" s="18" t="s">
        <v>19</v>
      </c>
      <c r="H16" s="18" t="s">
        <v>20</v>
      </c>
      <c r="I16" s="19">
        <v>45332</v>
      </c>
      <c r="J16" s="19">
        <v>45336</v>
      </c>
      <c r="K16" s="20">
        <v>11500</v>
      </c>
      <c r="L16" s="18"/>
      <c r="M16" s="21"/>
    </row>
    <row r="17" spans="1:13" x14ac:dyDescent="0.25">
      <c r="A17" s="22">
        <v>4</v>
      </c>
      <c r="B17" s="18" t="s">
        <v>16</v>
      </c>
      <c r="C17" s="18" t="s">
        <v>55</v>
      </c>
      <c r="D17" s="18">
        <v>224004</v>
      </c>
      <c r="E17" s="18" t="s">
        <v>17</v>
      </c>
      <c r="F17" s="18" t="s">
        <v>56</v>
      </c>
      <c r="G17" s="18" t="s">
        <v>19</v>
      </c>
      <c r="H17" s="18" t="s">
        <v>20</v>
      </c>
      <c r="I17" s="19">
        <v>45325</v>
      </c>
      <c r="J17" s="19">
        <v>45336</v>
      </c>
      <c r="K17" s="20">
        <v>12500</v>
      </c>
      <c r="L17" s="18"/>
      <c r="M17" s="21"/>
    </row>
    <row r="18" spans="1:13" x14ac:dyDescent="0.25">
      <c r="A18" s="22">
        <v>6</v>
      </c>
      <c r="B18" s="18" t="s">
        <v>16</v>
      </c>
      <c r="C18" s="18" t="s">
        <v>57</v>
      </c>
      <c r="D18" s="18">
        <v>225014</v>
      </c>
      <c r="E18" s="18" t="s">
        <v>17</v>
      </c>
      <c r="F18" s="18" t="s">
        <v>58</v>
      </c>
      <c r="G18" s="18" t="s">
        <v>19</v>
      </c>
      <c r="H18" s="18" t="s">
        <v>20</v>
      </c>
      <c r="I18" s="19">
        <v>45324</v>
      </c>
      <c r="J18" s="19">
        <v>45343</v>
      </c>
      <c r="K18" s="20">
        <v>14000</v>
      </c>
      <c r="L18" s="18"/>
      <c r="M18" s="21"/>
    </row>
    <row r="19" spans="1:13" hidden="1" x14ac:dyDescent="0.25">
      <c r="A19" s="22">
        <v>8</v>
      </c>
      <c r="B19" s="18" t="s">
        <v>21</v>
      </c>
      <c r="C19" s="18" t="s">
        <v>59</v>
      </c>
      <c r="D19" s="18">
        <v>224599</v>
      </c>
      <c r="E19" s="18" t="s">
        <v>17</v>
      </c>
      <c r="F19" s="18" t="s">
        <v>60</v>
      </c>
      <c r="G19" s="18" t="s">
        <v>19</v>
      </c>
      <c r="H19" s="18" t="s">
        <v>20</v>
      </c>
      <c r="I19" s="19">
        <v>45330</v>
      </c>
      <c r="J19" s="19">
        <v>45345</v>
      </c>
      <c r="K19" s="20">
        <v>12000</v>
      </c>
      <c r="L19" s="18"/>
      <c r="M19" s="21"/>
    </row>
    <row r="20" spans="1:13" ht="15.75" hidden="1" thickBot="1" x14ac:dyDescent="0.3">
      <c r="A20" s="25">
        <v>12</v>
      </c>
      <c r="B20" s="26" t="s">
        <v>26</v>
      </c>
      <c r="C20" s="26" t="s">
        <v>64</v>
      </c>
      <c r="D20" s="26">
        <v>226864</v>
      </c>
      <c r="E20" s="26" t="s">
        <v>33</v>
      </c>
      <c r="F20" s="26" t="s">
        <v>65</v>
      </c>
      <c r="G20" s="26" t="s">
        <v>24</v>
      </c>
      <c r="H20" s="26" t="s">
        <v>20</v>
      </c>
      <c r="I20" s="31">
        <v>45343</v>
      </c>
      <c r="J20" s="31">
        <v>45350</v>
      </c>
      <c r="K20" s="32">
        <v>30850</v>
      </c>
      <c r="L20" s="33"/>
      <c r="M20" s="34"/>
    </row>
    <row r="21" spans="1:13" ht="15.75" hidden="1" thickBot="1" x14ac:dyDescent="0.3">
      <c r="A21" s="185" t="s">
        <v>66</v>
      </c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7"/>
    </row>
    <row r="22" spans="1:13" hidden="1" x14ac:dyDescent="0.25">
      <c r="A22" s="12">
        <v>7</v>
      </c>
      <c r="B22" s="13" t="s">
        <v>21</v>
      </c>
      <c r="C22" s="13" t="s">
        <v>68</v>
      </c>
      <c r="D22" s="13">
        <v>229957</v>
      </c>
      <c r="E22" s="13" t="s">
        <v>17</v>
      </c>
      <c r="F22" s="13" t="s">
        <v>69</v>
      </c>
      <c r="G22" s="13" t="s">
        <v>19</v>
      </c>
      <c r="H22" s="13" t="s">
        <v>20</v>
      </c>
      <c r="I22" s="14">
        <v>45364</v>
      </c>
      <c r="J22" s="14">
        <v>45370</v>
      </c>
      <c r="K22" s="15">
        <v>13500</v>
      </c>
      <c r="L22" s="13"/>
      <c r="M22" s="40" t="s">
        <v>70</v>
      </c>
    </row>
    <row r="23" spans="1:13" ht="15.75" hidden="1" thickBot="1" x14ac:dyDescent="0.3">
      <c r="A23" s="185" t="s">
        <v>71</v>
      </c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7"/>
    </row>
    <row r="24" spans="1:13" x14ac:dyDescent="0.25">
      <c r="A24" s="35">
        <v>1</v>
      </c>
      <c r="B24" s="36" t="s">
        <v>16</v>
      </c>
      <c r="C24" s="18" t="s">
        <v>72</v>
      </c>
      <c r="D24" s="36">
        <v>231955</v>
      </c>
      <c r="E24" s="36" t="s">
        <v>17</v>
      </c>
      <c r="F24" s="36" t="s">
        <v>73</v>
      </c>
      <c r="G24" s="36" t="s">
        <v>19</v>
      </c>
      <c r="H24" s="36" t="s">
        <v>20</v>
      </c>
      <c r="I24" s="37">
        <v>45325</v>
      </c>
      <c r="J24" s="37">
        <v>45383</v>
      </c>
      <c r="K24" s="38">
        <v>21500</v>
      </c>
      <c r="L24" s="38"/>
      <c r="M24" s="39"/>
    </row>
    <row r="25" spans="1:13" hidden="1" x14ac:dyDescent="0.25">
      <c r="A25" s="12">
        <v>3</v>
      </c>
      <c r="B25" s="13" t="s">
        <v>21</v>
      </c>
      <c r="C25" s="13" t="s">
        <v>74</v>
      </c>
      <c r="D25" s="13">
        <v>230066</v>
      </c>
      <c r="E25" s="13" t="s">
        <v>17</v>
      </c>
      <c r="F25" s="13" t="s">
        <v>75</v>
      </c>
      <c r="G25" s="13" t="s">
        <v>19</v>
      </c>
      <c r="H25" s="13" t="s">
        <v>20</v>
      </c>
      <c r="I25" s="14">
        <v>45357</v>
      </c>
      <c r="J25" s="14">
        <v>45385</v>
      </c>
      <c r="K25" s="15">
        <v>13500</v>
      </c>
      <c r="L25" s="13"/>
      <c r="M25" s="16"/>
    </row>
    <row r="26" spans="1:13" x14ac:dyDescent="0.25">
      <c r="A26" s="12">
        <v>7</v>
      </c>
      <c r="B26" s="13" t="s">
        <v>16</v>
      </c>
      <c r="C26" s="13" t="s">
        <v>76</v>
      </c>
      <c r="D26" s="13">
        <v>234367</v>
      </c>
      <c r="E26" s="13" t="s">
        <v>17</v>
      </c>
      <c r="F26" s="13" t="s">
        <v>77</v>
      </c>
      <c r="G26" s="13" t="s">
        <v>19</v>
      </c>
      <c r="H26" s="13" t="s">
        <v>20</v>
      </c>
      <c r="I26" s="14">
        <v>45399</v>
      </c>
      <c r="J26" s="14">
        <v>45400</v>
      </c>
      <c r="K26" s="15">
        <v>48000</v>
      </c>
      <c r="L26" s="13"/>
      <c r="M26" s="16"/>
    </row>
    <row r="27" spans="1:13" x14ac:dyDescent="0.25">
      <c r="A27" s="12">
        <v>8</v>
      </c>
      <c r="B27" s="13" t="s">
        <v>16</v>
      </c>
      <c r="C27" s="13" t="s">
        <v>78</v>
      </c>
      <c r="D27" s="13">
        <v>233568</v>
      </c>
      <c r="E27" s="13" t="s">
        <v>36</v>
      </c>
      <c r="F27" s="13" t="s">
        <v>79</v>
      </c>
      <c r="G27" s="13" t="s">
        <v>19</v>
      </c>
      <c r="H27" s="13" t="s">
        <v>20</v>
      </c>
      <c r="I27" s="14">
        <v>45392</v>
      </c>
      <c r="J27" s="14">
        <v>45401</v>
      </c>
      <c r="K27" s="15">
        <v>16500</v>
      </c>
      <c r="L27" s="13"/>
      <c r="M27" s="16"/>
    </row>
    <row r="28" spans="1:13" hidden="1" x14ac:dyDescent="0.25">
      <c r="A28" s="12">
        <v>12</v>
      </c>
      <c r="B28" s="13" t="s">
        <v>21</v>
      </c>
      <c r="C28" s="13" t="s">
        <v>80</v>
      </c>
      <c r="D28" s="13">
        <v>235177</v>
      </c>
      <c r="E28" s="13" t="s">
        <v>17</v>
      </c>
      <c r="F28" s="13" t="s">
        <v>81</v>
      </c>
      <c r="G28" s="13" t="s">
        <v>24</v>
      </c>
      <c r="H28" s="13" t="s">
        <v>20</v>
      </c>
      <c r="I28" s="14">
        <v>45404</v>
      </c>
      <c r="J28" s="14">
        <v>45407</v>
      </c>
      <c r="K28" s="15">
        <v>17000</v>
      </c>
      <c r="L28" s="50"/>
      <c r="M28" s="47"/>
    </row>
    <row r="29" spans="1:13" ht="15.75" thickBot="1" x14ac:dyDescent="0.3">
      <c r="A29" s="41">
        <v>19</v>
      </c>
      <c r="B29" s="42" t="s">
        <v>16</v>
      </c>
      <c r="C29" s="42" t="s">
        <v>85</v>
      </c>
      <c r="D29" s="42">
        <v>236390</v>
      </c>
      <c r="E29" s="42" t="s">
        <v>17</v>
      </c>
      <c r="F29" s="42" t="s">
        <v>86</v>
      </c>
      <c r="G29" s="42" t="s">
        <v>19</v>
      </c>
      <c r="H29" s="42" t="s">
        <v>20</v>
      </c>
      <c r="I29" s="43">
        <v>45412</v>
      </c>
      <c r="J29" s="43">
        <v>45412</v>
      </c>
      <c r="K29" s="44">
        <v>15000</v>
      </c>
      <c r="L29" s="42"/>
      <c r="M29" s="45"/>
    </row>
    <row r="30" spans="1:13" ht="15.75" hidden="1" thickBot="1" x14ac:dyDescent="0.3">
      <c r="A30" s="185" t="s">
        <v>87</v>
      </c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7"/>
    </row>
    <row r="31" spans="1:13" x14ac:dyDescent="0.25">
      <c r="A31" s="22">
        <v>3</v>
      </c>
      <c r="B31" s="18" t="s">
        <v>16</v>
      </c>
      <c r="C31" s="18" t="s">
        <v>88</v>
      </c>
      <c r="D31" s="18">
        <v>236790</v>
      </c>
      <c r="E31" s="18" t="s">
        <v>36</v>
      </c>
      <c r="F31" s="18" t="s">
        <v>89</v>
      </c>
      <c r="G31" s="18" t="s">
        <v>19</v>
      </c>
      <c r="H31" s="18" t="s">
        <v>20</v>
      </c>
      <c r="I31" s="19">
        <v>45407</v>
      </c>
      <c r="J31" s="19">
        <v>45418</v>
      </c>
      <c r="K31" s="20">
        <v>38500</v>
      </c>
      <c r="L31" s="18"/>
      <c r="M31" s="21"/>
    </row>
    <row r="32" spans="1:13" hidden="1" x14ac:dyDescent="0.25">
      <c r="A32" s="12">
        <v>8</v>
      </c>
      <c r="B32" s="13" t="s">
        <v>21</v>
      </c>
      <c r="C32" s="13" t="s">
        <v>90</v>
      </c>
      <c r="D32" s="13">
        <v>237048</v>
      </c>
      <c r="E32" s="13" t="s">
        <v>17</v>
      </c>
      <c r="F32" s="13" t="s">
        <v>60</v>
      </c>
      <c r="G32" s="13" t="s">
        <v>24</v>
      </c>
      <c r="H32" s="13" t="s">
        <v>20</v>
      </c>
      <c r="I32" s="14">
        <v>45425</v>
      </c>
      <c r="J32" s="14">
        <v>45433</v>
      </c>
      <c r="K32" s="15">
        <v>10000</v>
      </c>
      <c r="L32" s="13"/>
      <c r="M32" s="51" t="s">
        <v>91</v>
      </c>
    </row>
    <row r="33" spans="1:13" hidden="1" x14ac:dyDescent="0.25">
      <c r="A33" s="22">
        <v>11</v>
      </c>
      <c r="B33" s="18" t="s">
        <v>21</v>
      </c>
      <c r="C33" s="18" t="s">
        <v>92</v>
      </c>
      <c r="D33" s="18">
        <v>240874</v>
      </c>
      <c r="E33" s="18" t="s">
        <v>93</v>
      </c>
      <c r="F33" s="18" t="s">
        <v>94</v>
      </c>
      <c r="G33" s="18" t="s">
        <v>19</v>
      </c>
      <c r="H33" s="18" t="s">
        <v>20</v>
      </c>
      <c r="I33" s="19">
        <v>45042</v>
      </c>
      <c r="J33" s="19">
        <v>45443</v>
      </c>
      <c r="K33" s="20">
        <v>8000</v>
      </c>
      <c r="L33" s="52"/>
      <c r="M33" s="30"/>
    </row>
    <row r="34" spans="1:13" ht="15.75" hidden="1" thickBot="1" x14ac:dyDescent="0.3">
      <c r="A34" s="25">
        <v>12</v>
      </c>
      <c r="B34" s="26" t="s">
        <v>31</v>
      </c>
      <c r="C34" s="26" t="s">
        <v>95</v>
      </c>
      <c r="D34" s="26">
        <v>241022</v>
      </c>
      <c r="E34" s="26" t="s">
        <v>17</v>
      </c>
      <c r="F34" s="26" t="s">
        <v>96</v>
      </c>
      <c r="G34" s="26" t="s">
        <v>24</v>
      </c>
      <c r="H34" s="26" t="s">
        <v>20</v>
      </c>
      <c r="I34" s="31">
        <v>45443</v>
      </c>
      <c r="J34" s="31">
        <v>45443</v>
      </c>
      <c r="K34" s="32">
        <v>27000</v>
      </c>
      <c r="L34" s="33"/>
      <c r="M34" s="34"/>
    </row>
    <row r="35" spans="1:13" ht="15.75" hidden="1" thickBot="1" x14ac:dyDescent="0.3">
      <c r="A35" s="185" t="s">
        <v>97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7"/>
    </row>
    <row r="36" spans="1:13" hidden="1" x14ac:dyDescent="0.25">
      <c r="A36" s="12">
        <v>2</v>
      </c>
      <c r="B36" s="13" t="s">
        <v>21</v>
      </c>
      <c r="C36" s="13" t="s">
        <v>98</v>
      </c>
      <c r="D36" s="13">
        <v>241329</v>
      </c>
      <c r="E36" s="13" t="s">
        <v>17</v>
      </c>
      <c r="F36" s="13" t="s">
        <v>99</v>
      </c>
      <c r="G36" s="13" t="s">
        <v>19</v>
      </c>
      <c r="H36" s="13" t="s">
        <v>20</v>
      </c>
      <c r="I36" s="14">
        <v>44974</v>
      </c>
      <c r="J36" s="14">
        <v>45447</v>
      </c>
      <c r="K36" s="15">
        <v>14000</v>
      </c>
      <c r="L36" s="13"/>
      <c r="M36" s="16"/>
    </row>
    <row r="37" spans="1:13" hidden="1" x14ac:dyDescent="0.25">
      <c r="A37" s="12">
        <v>3</v>
      </c>
      <c r="B37" s="13" t="s">
        <v>31</v>
      </c>
      <c r="C37" s="13" t="s">
        <v>100</v>
      </c>
      <c r="D37" s="13">
        <v>241385</v>
      </c>
      <c r="E37" s="13" t="s">
        <v>101</v>
      </c>
      <c r="F37" s="13" t="s">
        <v>102</v>
      </c>
      <c r="G37" s="13" t="s">
        <v>24</v>
      </c>
      <c r="H37" s="13" t="s">
        <v>20</v>
      </c>
      <c r="I37" s="14">
        <v>44995</v>
      </c>
      <c r="J37" s="14">
        <v>45449</v>
      </c>
      <c r="K37" s="15">
        <v>400000</v>
      </c>
      <c r="L37" s="13"/>
      <c r="M37" s="16"/>
    </row>
    <row r="38" spans="1:13" hidden="1" x14ac:dyDescent="0.25">
      <c r="A38" s="12">
        <v>7</v>
      </c>
      <c r="B38" s="13" t="s">
        <v>26</v>
      </c>
      <c r="C38" s="13" t="s">
        <v>105</v>
      </c>
      <c r="D38" s="13">
        <v>241440</v>
      </c>
      <c r="E38" s="13" t="s">
        <v>36</v>
      </c>
      <c r="F38" s="13" t="s">
        <v>106</v>
      </c>
      <c r="G38" s="13" t="s">
        <v>19</v>
      </c>
      <c r="H38" s="13" t="s">
        <v>20</v>
      </c>
      <c r="I38" s="14">
        <v>45444</v>
      </c>
      <c r="J38" s="14">
        <v>45453</v>
      </c>
      <c r="K38" s="15">
        <v>33000</v>
      </c>
      <c r="L38" s="13"/>
      <c r="M38" s="16"/>
    </row>
    <row r="39" spans="1:13" x14ac:dyDescent="0.25">
      <c r="A39" s="12">
        <v>8</v>
      </c>
      <c r="B39" s="13" t="s">
        <v>16</v>
      </c>
      <c r="C39" s="13" t="s">
        <v>107</v>
      </c>
      <c r="D39" s="13">
        <v>220966</v>
      </c>
      <c r="E39" s="13" t="s">
        <v>17</v>
      </c>
      <c r="F39" s="13" t="s">
        <v>108</v>
      </c>
      <c r="G39" s="13" t="s">
        <v>19</v>
      </c>
      <c r="H39" s="13" t="s">
        <v>20</v>
      </c>
      <c r="I39" s="14">
        <v>45454</v>
      </c>
      <c r="J39" s="14">
        <v>45455</v>
      </c>
      <c r="K39" s="15">
        <v>12500</v>
      </c>
      <c r="L39" s="13"/>
      <c r="M39" s="16"/>
    </row>
    <row r="40" spans="1:13" hidden="1" x14ac:dyDescent="0.25">
      <c r="A40" s="22">
        <v>9</v>
      </c>
      <c r="B40" s="13" t="s">
        <v>21</v>
      </c>
      <c r="C40" s="13" t="s">
        <v>109</v>
      </c>
      <c r="D40" s="13">
        <v>228029</v>
      </c>
      <c r="E40" s="13" t="s">
        <v>17</v>
      </c>
      <c r="F40" s="13" t="s">
        <v>67</v>
      </c>
      <c r="G40" s="13" t="s">
        <v>19</v>
      </c>
      <c r="H40" s="13" t="s">
        <v>20</v>
      </c>
      <c r="I40" s="14">
        <v>45355</v>
      </c>
      <c r="J40" s="14">
        <v>45356</v>
      </c>
      <c r="K40" s="15">
        <v>16000</v>
      </c>
      <c r="L40" s="54"/>
      <c r="M40" s="29" t="s">
        <v>110</v>
      </c>
    </row>
    <row r="41" spans="1:13" hidden="1" x14ac:dyDescent="0.25">
      <c r="A41" s="12">
        <v>11</v>
      </c>
      <c r="B41" s="13" t="s">
        <v>31</v>
      </c>
      <c r="C41" s="13" t="s">
        <v>111</v>
      </c>
      <c r="D41" s="13">
        <v>243256</v>
      </c>
      <c r="E41" s="13" t="s">
        <v>82</v>
      </c>
      <c r="F41" s="13" t="s">
        <v>102</v>
      </c>
      <c r="G41" s="13" t="s">
        <v>24</v>
      </c>
      <c r="H41" s="13" t="s">
        <v>20</v>
      </c>
      <c r="I41" s="14">
        <v>45458</v>
      </c>
      <c r="J41" s="14">
        <v>45461</v>
      </c>
      <c r="K41" s="15">
        <v>3200000</v>
      </c>
      <c r="L41" s="49"/>
      <c r="M41" s="24"/>
    </row>
    <row r="42" spans="1:13" hidden="1" x14ac:dyDescent="0.25">
      <c r="A42" s="12">
        <v>12</v>
      </c>
      <c r="B42" s="13" t="s">
        <v>31</v>
      </c>
      <c r="C42" s="13" t="s">
        <v>112</v>
      </c>
      <c r="D42" s="13">
        <v>243689</v>
      </c>
      <c r="E42" s="13" t="s">
        <v>103</v>
      </c>
      <c r="F42" s="13" t="s">
        <v>104</v>
      </c>
      <c r="G42" s="13" t="s">
        <v>24</v>
      </c>
      <c r="H42" s="13" t="s">
        <v>25</v>
      </c>
      <c r="I42" s="14">
        <v>45463</v>
      </c>
      <c r="J42" s="14">
        <v>45464</v>
      </c>
      <c r="K42" s="15">
        <v>350</v>
      </c>
      <c r="L42" s="50"/>
      <c r="M42" s="47"/>
    </row>
    <row r="43" spans="1:13" hidden="1" x14ac:dyDescent="0.25">
      <c r="A43" s="12">
        <v>13</v>
      </c>
      <c r="B43" s="36" t="s">
        <v>31</v>
      </c>
      <c r="C43" s="13" t="s">
        <v>113</v>
      </c>
      <c r="D43" s="13">
        <v>244107</v>
      </c>
      <c r="E43" s="13" t="s">
        <v>114</v>
      </c>
      <c r="F43" s="13" t="s">
        <v>104</v>
      </c>
      <c r="G43" s="13" t="s">
        <v>19</v>
      </c>
      <c r="H43" s="13" t="s">
        <v>25</v>
      </c>
      <c r="I43" s="14">
        <v>45452</v>
      </c>
      <c r="J43" s="14">
        <v>45470</v>
      </c>
      <c r="K43" s="15">
        <v>350</v>
      </c>
      <c r="L43" s="50"/>
      <c r="M43" s="47"/>
    </row>
    <row r="44" spans="1:13" hidden="1" x14ac:dyDescent="0.25">
      <c r="A44" s="12">
        <v>14</v>
      </c>
      <c r="B44" s="13" t="s">
        <v>40</v>
      </c>
      <c r="C44" s="13" t="s">
        <v>115</v>
      </c>
      <c r="D44" s="13">
        <v>244159</v>
      </c>
      <c r="E44" s="13" t="s">
        <v>17</v>
      </c>
      <c r="F44" s="13" t="s">
        <v>62</v>
      </c>
      <c r="G44" s="13" t="s">
        <v>19</v>
      </c>
      <c r="H44" s="13" t="s">
        <v>20</v>
      </c>
      <c r="I44" s="14">
        <v>45429</v>
      </c>
      <c r="J44" s="14">
        <v>45470</v>
      </c>
      <c r="K44" s="15">
        <v>16000</v>
      </c>
      <c r="L44" s="55"/>
      <c r="M44" s="47"/>
    </row>
    <row r="45" spans="1:13" ht="15.75" hidden="1" thickBot="1" x14ac:dyDescent="0.3">
      <c r="A45" s="185" t="s">
        <v>116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7"/>
    </row>
    <row r="46" spans="1:13" x14ac:dyDescent="0.25">
      <c r="A46" s="12">
        <v>2</v>
      </c>
      <c r="B46" s="13" t="s">
        <v>16</v>
      </c>
      <c r="C46" s="13" t="s">
        <v>117</v>
      </c>
      <c r="D46" s="13">
        <v>246131</v>
      </c>
      <c r="E46" s="13" t="s">
        <v>17</v>
      </c>
      <c r="F46" s="13" t="s">
        <v>118</v>
      </c>
      <c r="G46" s="13" t="s">
        <v>19</v>
      </c>
      <c r="H46" s="13" t="s">
        <v>20</v>
      </c>
      <c r="I46" s="14">
        <v>45482</v>
      </c>
      <c r="J46" s="14">
        <v>45483</v>
      </c>
      <c r="K46" s="15">
        <v>16500</v>
      </c>
      <c r="L46" s="13"/>
      <c r="M46" s="16"/>
    </row>
    <row r="47" spans="1:13" x14ac:dyDescent="0.25">
      <c r="A47" s="56">
        <v>3</v>
      </c>
      <c r="B47" s="13" t="s">
        <v>16</v>
      </c>
      <c r="C47" s="13" t="s">
        <v>119</v>
      </c>
      <c r="D47" s="13">
        <v>246496</v>
      </c>
      <c r="E47" s="13" t="s">
        <v>17</v>
      </c>
      <c r="F47" s="13" t="s">
        <v>83</v>
      </c>
      <c r="G47" s="13" t="s">
        <v>24</v>
      </c>
      <c r="H47" s="13" t="s">
        <v>20</v>
      </c>
      <c r="I47" s="14">
        <v>45487</v>
      </c>
      <c r="J47" s="14">
        <v>45488</v>
      </c>
      <c r="K47" s="15">
        <v>8500</v>
      </c>
      <c r="L47" s="13"/>
      <c r="M47" s="16"/>
    </row>
    <row r="48" spans="1:13" hidden="1" x14ac:dyDescent="0.25">
      <c r="A48" s="12">
        <v>6</v>
      </c>
      <c r="B48" s="13" t="s">
        <v>26</v>
      </c>
      <c r="C48" s="13" t="s">
        <v>120</v>
      </c>
      <c r="D48" s="13">
        <v>247223</v>
      </c>
      <c r="E48" s="13" t="s">
        <v>36</v>
      </c>
      <c r="F48" s="13" t="s">
        <v>224</v>
      </c>
      <c r="G48" s="13" t="s">
        <v>19</v>
      </c>
      <c r="H48" s="13" t="s">
        <v>20</v>
      </c>
      <c r="I48" s="14">
        <v>45030</v>
      </c>
      <c r="J48" s="14">
        <v>45495</v>
      </c>
      <c r="K48" s="15">
        <v>37000</v>
      </c>
      <c r="L48" s="48" t="s">
        <v>121</v>
      </c>
      <c r="M48" s="16"/>
    </row>
    <row r="49" spans="1:13" hidden="1" x14ac:dyDescent="0.25">
      <c r="A49" s="12">
        <v>7</v>
      </c>
      <c r="B49" s="13" t="s">
        <v>122</v>
      </c>
      <c r="C49" s="13" t="s">
        <v>123</v>
      </c>
      <c r="D49" s="13">
        <v>247307</v>
      </c>
      <c r="E49" s="13" t="s">
        <v>124</v>
      </c>
      <c r="F49" s="13" t="s">
        <v>125</v>
      </c>
      <c r="G49" s="13" t="s">
        <v>19</v>
      </c>
      <c r="H49" s="13" t="s">
        <v>20</v>
      </c>
      <c r="I49" s="14">
        <v>44659</v>
      </c>
      <c r="J49" s="14">
        <v>45496</v>
      </c>
      <c r="K49" s="15">
        <v>55000</v>
      </c>
      <c r="L49" s="13"/>
      <c r="M49" s="16"/>
    </row>
    <row r="50" spans="1:13" hidden="1" x14ac:dyDescent="0.25">
      <c r="A50" s="12">
        <v>8</v>
      </c>
      <c r="B50" s="13" t="s">
        <v>122</v>
      </c>
      <c r="C50" s="13" t="s">
        <v>126</v>
      </c>
      <c r="D50" s="13">
        <v>247320</v>
      </c>
      <c r="E50" s="13" t="s">
        <v>36</v>
      </c>
      <c r="F50" s="13" t="s">
        <v>127</v>
      </c>
      <c r="G50" s="13" t="s">
        <v>19</v>
      </c>
      <c r="H50" s="13" t="s">
        <v>20</v>
      </c>
      <c r="I50" s="14">
        <v>45078</v>
      </c>
      <c r="J50" s="14">
        <v>45496</v>
      </c>
      <c r="K50" s="15">
        <v>17000</v>
      </c>
      <c r="L50" s="13"/>
      <c r="M50" s="16"/>
    </row>
    <row r="51" spans="1:13" hidden="1" x14ac:dyDescent="0.25">
      <c r="A51" s="12">
        <v>11</v>
      </c>
      <c r="B51" s="13" t="s">
        <v>40</v>
      </c>
      <c r="C51" s="13" t="s">
        <v>128</v>
      </c>
      <c r="D51" s="13">
        <v>245653</v>
      </c>
      <c r="E51" s="13" t="s">
        <v>129</v>
      </c>
      <c r="F51" s="13" t="s">
        <v>77</v>
      </c>
      <c r="G51" s="13" t="s">
        <v>19</v>
      </c>
      <c r="H51" s="13" t="s">
        <v>20</v>
      </c>
      <c r="I51" s="14">
        <v>45482</v>
      </c>
      <c r="J51" s="14">
        <v>45484</v>
      </c>
      <c r="K51" s="15">
        <v>112000</v>
      </c>
      <c r="L51" s="49"/>
      <c r="M51" s="24"/>
    </row>
    <row r="52" spans="1:13" ht="15.75" hidden="1" thickBot="1" x14ac:dyDescent="0.3">
      <c r="A52" s="185" t="s">
        <v>130</v>
      </c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</row>
    <row r="53" spans="1:13" hidden="1" x14ac:dyDescent="0.25">
      <c r="A53" s="35">
        <v>1</v>
      </c>
      <c r="B53" s="36" t="s">
        <v>31</v>
      </c>
      <c r="C53" s="13" t="s">
        <v>131</v>
      </c>
      <c r="D53" s="36">
        <v>248606</v>
      </c>
      <c r="E53" s="36" t="s">
        <v>63</v>
      </c>
      <c r="F53" s="36" t="s">
        <v>132</v>
      </c>
      <c r="G53" s="36" t="s">
        <v>24</v>
      </c>
      <c r="H53" s="36" t="s">
        <v>20</v>
      </c>
      <c r="I53" s="37">
        <v>45497</v>
      </c>
      <c r="J53" s="37">
        <v>45511</v>
      </c>
      <c r="K53" s="38">
        <v>95000</v>
      </c>
      <c r="L53" s="38"/>
      <c r="M53" s="39"/>
    </row>
    <row r="54" spans="1:13" hidden="1" x14ac:dyDescent="0.25">
      <c r="A54" s="12">
        <v>2</v>
      </c>
      <c r="B54" s="13" t="s">
        <v>21</v>
      </c>
      <c r="C54" s="13" t="s">
        <v>133</v>
      </c>
      <c r="D54" s="13">
        <v>248650</v>
      </c>
      <c r="E54" s="13" t="s">
        <v>17</v>
      </c>
      <c r="F54" s="13" t="s">
        <v>134</v>
      </c>
      <c r="G54" s="13" t="s">
        <v>24</v>
      </c>
      <c r="H54" s="13" t="s">
        <v>20</v>
      </c>
      <c r="I54" s="14">
        <v>45491</v>
      </c>
      <c r="J54" s="14">
        <v>45511</v>
      </c>
      <c r="K54" s="15">
        <v>13500</v>
      </c>
      <c r="L54" s="13"/>
      <c r="M54" s="16"/>
    </row>
    <row r="55" spans="1:13" x14ac:dyDescent="0.25">
      <c r="A55" s="12">
        <v>3</v>
      </c>
      <c r="B55" s="13" t="s">
        <v>16</v>
      </c>
      <c r="C55" s="13" t="s">
        <v>135</v>
      </c>
      <c r="D55" s="13">
        <v>249054</v>
      </c>
      <c r="E55" s="13" t="s">
        <v>33</v>
      </c>
      <c r="F55" s="13" t="s">
        <v>136</v>
      </c>
      <c r="G55" s="13" t="s">
        <v>19</v>
      </c>
      <c r="H55" s="13" t="s">
        <v>20</v>
      </c>
      <c r="I55" s="14">
        <v>45481</v>
      </c>
      <c r="J55" s="14">
        <v>45516</v>
      </c>
      <c r="K55" s="15">
        <v>45000</v>
      </c>
      <c r="L55" s="13"/>
      <c r="M55" s="16"/>
    </row>
    <row r="56" spans="1:13" x14ac:dyDescent="0.25">
      <c r="A56" s="12">
        <v>5</v>
      </c>
      <c r="B56" s="13" t="s">
        <v>16</v>
      </c>
      <c r="C56" s="13" t="s">
        <v>137</v>
      </c>
      <c r="D56" s="13">
        <v>249537</v>
      </c>
      <c r="E56" s="13" t="s">
        <v>17</v>
      </c>
      <c r="F56" s="13" t="s">
        <v>134</v>
      </c>
      <c r="G56" s="13" t="s">
        <v>19</v>
      </c>
      <c r="H56" s="13" t="s">
        <v>20</v>
      </c>
      <c r="I56" s="14">
        <v>45519</v>
      </c>
      <c r="J56" s="14">
        <v>45520</v>
      </c>
      <c r="K56" s="15">
        <v>14800</v>
      </c>
      <c r="L56" s="13"/>
      <c r="M56" s="16"/>
    </row>
    <row r="57" spans="1:13" hidden="1" x14ac:dyDescent="0.25">
      <c r="A57" s="12">
        <v>6</v>
      </c>
      <c r="B57" s="13" t="s">
        <v>31</v>
      </c>
      <c r="C57" s="13" t="s">
        <v>138</v>
      </c>
      <c r="D57" s="13">
        <v>250344</v>
      </c>
      <c r="E57" s="13" t="s">
        <v>33</v>
      </c>
      <c r="F57" s="13" t="s">
        <v>139</v>
      </c>
      <c r="G57" s="13" t="s">
        <v>19</v>
      </c>
      <c r="H57" s="13" t="s">
        <v>20</v>
      </c>
      <c r="I57" s="14">
        <v>45521</v>
      </c>
      <c r="J57" s="14">
        <v>45527</v>
      </c>
      <c r="K57" s="15">
        <v>35000</v>
      </c>
      <c r="L57" s="13"/>
      <c r="M57" s="16"/>
    </row>
    <row r="58" spans="1:13" hidden="1" x14ac:dyDescent="0.25">
      <c r="A58" s="12">
        <v>8</v>
      </c>
      <c r="B58" s="13" t="s">
        <v>21</v>
      </c>
      <c r="C58" s="13" t="s">
        <v>140</v>
      </c>
      <c r="D58" s="13">
        <v>250321</v>
      </c>
      <c r="E58" s="13" t="s">
        <v>17</v>
      </c>
      <c r="F58" s="13" t="s">
        <v>30</v>
      </c>
      <c r="G58" s="13" t="s">
        <v>24</v>
      </c>
      <c r="H58" s="13" t="s">
        <v>25</v>
      </c>
      <c r="I58" s="14">
        <v>45527</v>
      </c>
      <c r="J58" s="14">
        <v>45530</v>
      </c>
      <c r="K58" s="15">
        <v>270</v>
      </c>
      <c r="L58" s="13"/>
      <c r="M58" s="16"/>
    </row>
    <row r="59" spans="1:13" ht="15.75" thickBot="1" x14ac:dyDescent="0.3">
      <c r="A59" s="25">
        <v>9</v>
      </c>
      <c r="B59" s="26" t="s">
        <v>16</v>
      </c>
      <c r="C59" s="26" t="s">
        <v>141</v>
      </c>
      <c r="D59" s="26">
        <v>250486</v>
      </c>
      <c r="E59" s="26" t="s">
        <v>17</v>
      </c>
      <c r="F59" s="57" t="s">
        <v>142</v>
      </c>
      <c r="G59" s="26" t="s">
        <v>19</v>
      </c>
      <c r="H59" s="26" t="s">
        <v>20</v>
      </c>
      <c r="I59" s="31">
        <v>45528</v>
      </c>
      <c r="J59" s="31">
        <v>45531</v>
      </c>
      <c r="K59" s="32">
        <v>12000</v>
      </c>
      <c r="L59" s="58"/>
      <c r="M59" s="59"/>
    </row>
    <row r="60" spans="1:13" ht="15.75" hidden="1" thickBot="1" x14ac:dyDescent="0.3">
      <c r="A60" s="185" t="s">
        <v>143</v>
      </c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7"/>
    </row>
    <row r="61" spans="1:13" x14ac:dyDescent="0.25">
      <c r="A61" s="60">
        <v>1</v>
      </c>
      <c r="B61" s="61" t="s">
        <v>16</v>
      </c>
      <c r="C61" s="62" t="s">
        <v>144</v>
      </c>
      <c r="D61" s="61">
        <v>251356</v>
      </c>
      <c r="E61" s="61" t="s">
        <v>17</v>
      </c>
      <c r="F61" s="61" t="s">
        <v>45</v>
      </c>
      <c r="G61" s="61" t="s">
        <v>19</v>
      </c>
      <c r="H61" s="61" t="s">
        <v>20</v>
      </c>
      <c r="I61" s="63">
        <v>45590</v>
      </c>
      <c r="J61" s="63">
        <v>45538</v>
      </c>
      <c r="K61" s="64">
        <v>15000</v>
      </c>
      <c r="L61" s="64"/>
      <c r="M61" s="65"/>
    </row>
    <row r="62" spans="1:13" hidden="1" x14ac:dyDescent="0.25">
      <c r="A62" s="12">
        <v>2</v>
      </c>
      <c r="B62" s="13" t="s">
        <v>31</v>
      </c>
      <c r="C62" s="13" t="s">
        <v>145</v>
      </c>
      <c r="D62" s="13">
        <v>251698</v>
      </c>
      <c r="E62" s="13" t="s">
        <v>93</v>
      </c>
      <c r="F62" s="13" t="s">
        <v>146</v>
      </c>
      <c r="G62" s="13" t="s">
        <v>19</v>
      </c>
      <c r="H62" s="13" t="s">
        <v>25</v>
      </c>
      <c r="I62" s="14">
        <v>45511</v>
      </c>
      <c r="J62" s="14">
        <v>45538</v>
      </c>
      <c r="K62" s="15">
        <v>300</v>
      </c>
      <c r="L62" s="13"/>
      <c r="M62" s="16"/>
    </row>
    <row r="63" spans="1:13" hidden="1" x14ac:dyDescent="0.25">
      <c r="A63" s="12">
        <v>3</v>
      </c>
      <c r="B63" s="13" t="s">
        <v>31</v>
      </c>
      <c r="C63" s="13" t="s">
        <v>147</v>
      </c>
      <c r="D63" s="13">
        <v>251951</v>
      </c>
      <c r="E63" s="13" t="s">
        <v>36</v>
      </c>
      <c r="F63" s="13" t="s">
        <v>148</v>
      </c>
      <c r="G63" s="13" t="s">
        <v>24</v>
      </c>
      <c r="H63" s="13" t="s">
        <v>20</v>
      </c>
      <c r="I63" s="14">
        <v>45531</v>
      </c>
      <c r="J63" s="14">
        <v>45540</v>
      </c>
      <c r="K63" s="15">
        <v>75000</v>
      </c>
      <c r="L63" s="53" t="s">
        <v>149</v>
      </c>
      <c r="M63" s="16"/>
    </row>
    <row r="64" spans="1:13" hidden="1" x14ac:dyDescent="0.25">
      <c r="A64" s="12">
        <v>4</v>
      </c>
      <c r="B64" s="13" t="s">
        <v>31</v>
      </c>
      <c r="C64" s="13" t="s">
        <v>150</v>
      </c>
      <c r="D64" s="13">
        <v>252094</v>
      </c>
      <c r="E64" s="13" t="s">
        <v>93</v>
      </c>
      <c r="F64" s="13" t="s">
        <v>146</v>
      </c>
      <c r="G64" s="13" t="s">
        <v>19</v>
      </c>
      <c r="H64" s="13" t="s">
        <v>25</v>
      </c>
      <c r="I64" s="14">
        <v>45511</v>
      </c>
      <c r="J64" s="14">
        <v>45541</v>
      </c>
      <c r="K64" s="15">
        <v>200</v>
      </c>
      <c r="L64" s="13"/>
      <c r="M64" s="16"/>
    </row>
    <row r="65" spans="1:13" hidden="1" x14ac:dyDescent="0.25">
      <c r="A65" s="12">
        <v>5</v>
      </c>
      <c r="B65" s="13" t="s">
        <v>31</v>
      </c>
      <c r="C65" s="13" t="s">
        <v>151</v>
      </c>
      <c r="D65" s="13">
        <v>252096</v>
      </c>
      <c r="E65" s="13" t="s">
        <v>93</v>
      </c>
      <c r="F65" s="13" t="s">
        <v>146</v>
      </c>
      <c r="G65" s="13" t="s">
        <v>19</v>
      </c>
      <c r="H65" s="13" t="s">
        <v>25</v>
      </c>
      <c r="I65" s="14">
        <v>45511</v>
      </c>
      <c r="J65" s="14">
        <v>45541</v>
      </c>
      <c r="K65" s="15">
        <v>200</v>
      </c>
      <c r="L65" s="13"/>
      <c r="M65" s="16"/>
    </row>
    <row r="66" spans="1:13" x14ac:dyDescent="0.25">
      <c r="A66" s="12">
        <v>6</v>
      </c>
      <c r="B66" s="13" t="s">
        <v>16</v>
      </c>
      <c r="C66" s="13" t="s">
        <v>152</v>
      </c>
      <c r="D66" s="13">
        <v>252305</v>
      </c>
      <c r="E66" s="13" t="s">
        <v>33</v>
      </c>
      <c r="F66" s="13" t="s">
        <v>153</v>
      </c>
      <c r="G66" s="13" t="s">
        <v>19</v>
      </c>
      <c r="H66" s="13" t="s">
        <v>20</v>
      </c>
      <c r="I66" s="14">
        <v>45542</v>
      </c>
      <c r="J66" s="14">
        <v>45544</v>
      </c>
      <c r="K66" s="15">
        <v>29000</v>
      </c>
      <c r="L66" s="13"/>
      <c r="M66" s="16"/>
    </row>
    <row r="67" spans="1:13" hidden="1" x14ac:dyDescent="0.25">
      <c r="A67" s="12">
        <v>7</v>
      </c>
      <c r="B67" s="13" t="s">
        <v>31</v>
      </c>
      <c r="C67" s="13" t="s">
        <v>154</v>
      </c>
      <c r="D67" s="13">
        <v>252320</v>
      </c>
      <c r="E67" s="13" t="s">
        <v>17</v>
      </c>
      <c r="F67" s="13" t="s">
        <v>155</v>
      </c>
      <c r="G67" s="13" t="s">
        <v>24</v>
      </c>
      <c r="H67" s="13" t="s">
        <v>20</v>
      </c>
      <c r="I67" s="14">
        <v>45542</v>
      </c>
      <c r="J67" s="14">
        <v>45544</v>
      </c>
      <c r="K67" s="15">
        <v>21500</v>
      </c>
      <c r="L67" s="13"/>
      <c r="M67" s="16"/>
    </row>
    <row r="68" spans="1:13" hidden="1" x14ac:dyDescent="0.25">
      <c r="A68" s="12">
        <v>8</v>
      </c>
      <c r="B68" s="13" t="s">
        <v>61</v>
      </c>
      <c r="C68" s="13" t="s">
        <v>156</v>
      </c>
      <c r="D68" s="13">
        <v>252961</v>
      </c>
      <c r="E68" s="46" t="s">
        <v>42</v>
      </c>
      <c r="F68" s="13" t="s">
        <v>44</v>
      </c>
      <c r="G68" s="13" t="s">
        <v>24</v>
      </c>
      <c r="H68" s="13" t="s">
        <v>20</v>
      </c>
      <c r="I68" s="14">
        <v>45548</v>
      </c>
      <c r="J68" s="14">
        <v>45548</v>
      </c>
      <c r="K68" s="15">
        <v>280000</v>
      </c>
      <c r="L68" s="13"/>
      <c r="M68" s="16"/>
    </row>
    <row r="69" spans="1:13" x14ac:dyDescent="0.25">
      <c r="A69" s="12">
        <v>11</v>
      </c>
      <c r="B69" s="13" t="s">
        <v>16</v>
      </c>
      <c r="C69" s="13" t="s">
        <v>157</v>
      </c>
      <c r="D69" s="13">
        <v>253871</v>
      </c>
      <c r="E69" s="13" t="s">
        <v>17</v>
      </c>
      <c r="F69" s="13" t="s">
        <v>50</v>
      </c>
      <c r="G69" s="13" t="s">
        <v>19</v>
      </c>
      <c r="H69" s="13" t="s">
        <v>20</v>
      </c>
      <c r="I69" s="14">
        <v>45556</v>
      </c>
      <c r="J69" s="14">
        <v>45561</v>
      </c>
      <c r="K69" s="15">
        <v>15000</v>
      </c>
      <c r="L69" s="49"/>
      <c r="M69" s="24"/>
    </row>
    <row r="70" spans="1:13" hidden="1" x14ac:dyDescent="0.25">
      <c r="A70" s="12">
        <v>12</v>
      </c>
      <c r="B70" s="13" t="s">
        <v>31</v>
      </c>
      <c r="C70" s="13" t="s">
        <v>158</v>
      </c>
      <c r="D70" s="13">
        <v>254316</v>
      </c>
      <c r="E70" s="13" t="s">
        <v>17</v>
      </c>
      <c r="F70" s="46" t="s">
        <v>159</v>
      </c>
      <c r="G70" s="13" t="s">
        <v>19</v>
      </c>
      <c r="H70" s="13" t="s">
        <v>20</v>
      </c>
      <c r="I70" s="14">
        <v>45549</v>
      </c>
      <c r="J70" s="14">
        <v>45561</v>
      </c>
      <c r="K70" s="15">
        <v>50000</v>
      </c>
      <c r="L70" s="55" t="s">
        <v>160</v>
      </c>
      <c r="M70" s="47"/>
    </row>
    <row r="71" spans="1:13" x14ac:dyDescent="0.25">
      <c r="A71" s="13">
        <v>14</v>
      </c>
      <c r="B71" s="13" t="s">
        <v>16</v>
      </c>
      <c r="C71" s="13" t="s">
        <v>161</v>
      </c>
      <c r="D71" s="13">
        <v>255139</v>
      </c>
      <c r="E71" s="13" t="s">
        <v>17</v>
      </c>
      <c r="F71" s="13" t="s">
        <v>162</v>
      </c>
      <c r="G71" s="13" t="s">
        <v>19</v>
      </c>
      <c r="H71" s="13" t="s">
        <v>20</v>
      </c>
      <c r="I71" s="14">
        <v>45563</v>
      </c>
      <c r="J71" s="14">
        <v>45565</v>
      </c>
      <c r="K71" s="15">
        <v>12500</v>
      </c>
      <c r="L71" s="50"/>
      <c r="M71" s="49"/>
    </row>
    <row r="72" spans="1:13" ht="15.75" hidden="1" thickBot="1" x14ac:dyDescent="0.3">
      <c r="A72" s="185" t="s">
        <v>163</v>
      </c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7"/>
    </row>
    <row r="73" spans="1:13" x14ac:dyDescent="0.25">
      <c r="A73" s="35">
        <v>1</v>
      </c>
      <c r="B73" s="13" t="s">
        <v>16</v>
      </c>
      <c r="C73" s="13" t="s">
        <v>164</v>
      </c>
      <c r="D73" s="36">
        <v>255868</v>
      </c>
      <c r="E73" s="36" t="s">
        <v>33</v>
      </c>
      <c r="F73" s="36" t="s">
        <v>165</v>
      </c>
      <c r="G73" s="36" t="s">
        <v>19</v>
      </c>
      <c r="H73" s="36" t="s">
        <v>20</v>
      </c>
      <c r="I73" s="37">
        <v>45568</v>
      </c>
      <c r="J73" s="37">
        <v>45569</v>
      </c>
      <c r="K73" s="38">
        <v>29000</v>
      </c>
      <c r="L73" s="66" t="s">
        <v>166</v>
      </c>
      <c r="M73" s="39"/>
    </row>
    <row r="74" spans="1:13" hidden="1" x14ac:dyDescent="0.25">
      <c r="A74" s="12">
        <v>3</v>
      </c>
      <c r="B74" s="13" t="s">
        <v>40</v>
      </c>
      <c r="C74" s="13" t="s">
        <v>167</v>
      </c>
      <c r="D74" s="13">
        <v>256486</v>
      </c>
      <c r="E74" s="13" t="s">
        <v>17</v>
      </c>
      <c r="F74" s="13" t="s">
        <v>18</v>
      </c>
      <c r="G74" s="13" t="s">
        <v>19</v>
      </c>
      <c r="H74" s="13" t="s">
        <v>20</v>
      </c>
      <c r="I74" s="14">
        <v>45573</v>
      </c>
      <c r="J74" s="14">
        <v>45575</v>
      </c>
      <c r="K74" s="15">
        <v>14500</v>
      </c>
      <c r="L74" s="13"/>
      <c r="M74" s="16"/>
    </row>
    <row r="75" spans="1:13" hidden="1" x14ac:dyDescent="0.25">
      <c r="A75" s="12">
        <v>4</v>
      </c>
      <c r="B75" s="13" t="s">
        <v>122</v>
      </c>
      <c r="C75" s="13" t="s">
        <v>168</v>
      </c>
      <c r="D75" s="13">
        <v>256574</v>
      </c>
      <c r="E75" s="13" t="s">
        <v>17</v>
      </c>
      <c r="F75" s="13" t="s">
        <v>169</v>
      </c>
      <c r="G75" s="13" t="s">
        <v>19</v>
      </c>
      <c r="H75" s="13" t="s">
        <v>20</v>
      </c>
      <c r="I75" s="14">
        <v>45574</v>
      </c>
      <c r="J75" s="14">
        <v>45575</v>
      </c>
      <c r="K75" s="15">
        <v>42000</v>
      </c>
      <c r="L75" s="53" t="s">
        <v>170</v>
      </c>
      <c r="M75" s="16"/>
    </row>
    <row r="76" spans="1:13" hidden="1" x14ac:dyDescent="0.25">
      <c r="A76" s="12">
        <v>5</v>
      </c>
      <c r="B76" s="13" t="s">
        <v>122</v>
      </c>
      <c r="C76" s="13" t="s">
        <v>171</v>
      </c>
      <c r="D76" s="13">
        <v>256645</v>
      </c>
      <c r="E76" s="13" t="s">
        <v>172</v>
      </c>
      <c r="F76" s="13" t="s">
        <v>173</v>
      </c>
      <c r="G76" s="13" t="s">
        <v>19</v>
      </c>
      <c r="H76" s="13" t="s">
        <v>20</v>
      </c>
      <c r="I76" s="14">
        <v>45575</v>
      </c>
      <c r="J76" s="14">
        <v>45575</v>
      </c>
      <c r="K76" s="15">
        <v>65000</v>
      </c>
      <c r="L76" s="13"/>
      <c r="M76" s="16"/>
    </row>
    <row r="77" spans="1:13" hidden="1" x14ac:dyDescent="0.25">
      <c r="A77" s="12">
        <v>8</v>
      </c>
      <c r="B77" s="13" t="s">
        <v>31</v>
      </c>
      <c r="C77" s="13" t="s">
        <v>174</v>
      </c>
      <c r="D77" s="13">
        <v>258470</v>
      </c>
      <c r="E77" s="13" t="s">
        <v>36</v>
      </c>
      <c r="F77" s="13" t="s">
        <v>175</v>
      </c>
      <c r="G77" s="13" t="s">
        <v>24</v>
      </c>
      <c r="H77" s="13" t="s">
        <v>20</v>
      </c>
      <c r="I77" s="14">
        <v>45586</v>
      </c>
      <c r="J77" s="14">
        <v>45593</v>
      </c>
      <c r="K77" s="15">
        <v>20000</v>
      </c>
      <c r="L77" s="13"/>
      <c r="M77" s="16"/>
    </row>
    <row r="78" spans="1:13" ht="15.75" hidden="1" thickBot="1" x14ac:dyDescent="0.3">
      <c r="A78" s="185" t="s">
        <v>176</v>
      </c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7"/>
    </row>
    <row r="79" spans="1:13" hidden="1" x14ac:dyDescent="0.25">
      <c r="A79" s="35">
        <v>1</v>
      </c>
      <c r="B79" s="36" t="s">
        <v>61</v>
      </c>
      <c r="C79" s="13" t="s">
        <v>177</v>
      </c>
      <c r="D79" s="36">
        <v>259493</v>
      </c>
      <c r="E79" s="36" t="s">
        <v>17</v>
      </c>
      <c r="F79" s="36" t="s">
        <v>27</v>
      </c>
      <c r="G79" s="36" t="s">
        <v>19</v>
      </c>
      <c r="H79" s="36" t="s">
        <v>20</v>
      </c>
      <c r="I79" s="37">
        <v>45601</v>
      </c>
      <c r="J79" s="37">
        <v>45602</v>
      </c>
      <c r="K79" s="38">
        <v>30000</v>
      </c>
      <c r="L79" s="38"/>
      <c r="M79" s="39"/>
    </row>
    <row r="80" spans="1:13" hidden="1" x14ac:dyDescent="0.25">
      <c r="A80" s="12">
        <v>2</v>
      </c>
      <c r="B80" s="13" t="s">
        <v>40</v>
      </c>
      <c r="C80" s="13" t="s">
        <v>178</v>
      </c>
      <c r="D80" s="13">
        <v>259811</v>
      </c>
      <c r="E80" s="13" t="s">
        <v>17</v>
      </c>
      <c r="F80" s="13" t="s">
        <v>179</v>
      </c>
      <c r="G80" s="13" t="s">
        <v>24</v>
      </c>
      <c r="H80" s="13" t="s">
        <v>20</v>
      </c>
      <c r="I80" s="14">
        <v>45603</v>
      </c>
      <c r="J80" s="14">
        <v>45604</v>
      </c>
      <c r="K80" s="15">
        <v>22000</v>
      </c>
      <c r="L80" s="13"/>
      <c r="M80" s="16"/>
    </row>
    <row r="81" spans="1:13" hidden="1" x14ac:dyDescent="0.25">
      <c r="A81" s="12">
        <v>3</v>
      </c>
      <c r="B81" s="13" t="s">
        <v>40</v>
      </c>
      <c r="C81" s="13" t="s">
        <v>180</v>
      </c>
      <c r="D81" s="13">
        <v>259858</v>
      </c>
      <c r="E81" s="13" t="s">
        <v>17</v>
      </c>
      <c r="F81" s="46" t="s">
        <v>181</v>
      </c>
      <c r="G81" s="13" t="s">
        <v>24</v>
      </c>
      <c r="H81" s="13" t="s">
        <v>20</v>
      </c>
      <c r="I81" s="14">
        <v>45604</v>
      </c>
      <c r="J81" s="14">
        <v>45604</v>
      </c>
      <c r="K81" s="15">
        <v>16500</v>
      </c>
      <c r="L81" s="13"/>
      <c r="M81" s="16"/>
    </row>
    <row r="82" spans="1:13" x14ac:dyDescent="0.25">
      <c r="A82" s="12">
        <v>4</v>
      </c>
      <c r="B82" s="13" t="s">
        <v>16</v>
      </c>
      <c r="C82" s="13" t="s">
        <v>182</v>
      </c>
      <c r="D82" s="13">
        <v>260211</v>
      </c>
      <c r="E82" s="13" t="s">
        <v>17</v>
      </c>
      <c r="F82" s="13" t="s">
        <v>96</v>
      </c>
      <c r="G82" s="13" t="s">
        <v>19</v>
      </c>
      <c r="H82" s="13" t="s">
        <v>20</v>
      </c>
      <c r="I82" s="14">
        <v>45607</v>
      </c>
      <c r="J82" s="14">
        <v>45608</v>
      </c>
      <c r="K82" s="15">
        <v>28500</v>
      </c>
      <c r="L82" s="48" t="s">
        <v>166</v>
      </c>
      <c r="M82" s="16"/>
    </row>
    <row r="83" spans="1:13" x14ac:dyDescent="0.25">
      <c r="A83" s="12">
        <v>5</v>
      </c>
      <c r="B83" s="13" t="s">
        <v>16</v>
      </c>
      <c r="C83" s="13" t="s">
        <v>183</v>
      </c>
      <c r="D83" s="13">
        <v>260489</v>
      </c>
      <c r="E83" s="13" t="s">
        <v>36</v>
      </c>
      <c r="F83" s="13" t="s">
        <v>184</v>
      </c>
      <c r="G83" s="13" t="s">
        <v>19</v>
      </c>
      <c r="H83" s="13" t="s">
        <v>20</v>
      </c>
      <c r="I83" s="14">
        <v>44697</v>
      </c>
      <c r="J83" s="14">
        <v>45615</v>
      </c>
      <c r="K83" s="15">
        <v>95000</v>
      </c>
      <c r="L83" s="13"/>
      <c r="M83" s="16"/>
    </row>
    <row r="84" spans="1:13" x14ac:dyDescent="0.25">
      <c r="A84" s="12">
        <v>6</v>
      </c>
      <c r="B84" s="13" t="s">
        <v>16</v>
      </c>
      <c r="C84" s="13" t="s">
        <v>185</v>
      </c>
      <c r="D84" s="13">
        <v>261265</v>
      </c>
      <c r="E84" s="13" t="s">
        <v>17</v>
      </c>
      <c r="F84" s="13" t="s">
        <v>186</v>
      </c>
      <c r="G84" s="13" t="s">
        <v>19</v>
      </c>
      <c r="H84" s="13" t="s">
        <v>20</v>
      </c>
      <c r="I84" s="14">
        <v>45618</v>
      </c>
      <c r="J84" s="14">
        <v>45619</v>
      </c>
      <c r="K84" s="15">
        <v>21500</v>
      </c>
      <c r="L84" s="13"/>
      <c r="M84" s="16"/>
    </row>
    <row r="85" spans="1:13" hidden="1" x14ac:dyDescent="0.25">
      <c r="A85" s="12">
        <v>7</v>
      </c>
      <c r="B85" s="13" t="s">
        <v>40</v>
      </c>
      <c r="C85" s="13" t="s">
        <v>187</v>
      </c>
      <c r="D85" s="13">
        <v>261369</v>
      </c>
      <c r="E85" s="13" t="s">
        <v>17</v>
      </c>
      <c r="F85" s="13" t="s">
        <v>188</v>
      </c>
      <c r="G85" s="13" t="s">
        <v>19</v>
      </c>
      <c r="H85" s="13" t="s">
        <v>20</v>
      </c>
      <c r="I85" s="14">
        <v>45611</v>
      </c>
      <c r="J85" s="14">
        <v>45622</v>
      </c>
      <c r="K85" s="15">
        <v>23000</v>
      </c>
      <c r="L85" s="13"/>
      <c r="M85" s="16"/>
    </row>
    <row r="86" spans="1:13" hidden="1" x14ac:dyDescent="0.25">
      <c r="A86" s="12">
        <v>8</v>
      </c>
      <c r="B86" s="13" t="s">
        <v>31</v>
      </c>
      <c r="C86" s="13" t="s">
        <v>189</v>
      </c>
      <c r="D86" s="13">
        <v>262038</v>
      </c>
      <c r="E86" s="13" t="s">
        <v>17</v>
      </c>
      <c r="F86" s="13" t="s">
        <v>84</v>
      </c>
      <c r="G86" s="13" t="s">
        <v>24</v>
      </c>
      <c r="H86" s="13" t="s">
        <v>20</v>
      </c>
      <c r="I86" s="14">
        <v>45615</v>
      </c>
      <c r="J86" s="14">
        <v>45626</v>
      </c>
      <c r="K86" s="15">
        <v>16500</v>
      </c>
      <c r="L86" s="13"/>
      <c r="M86" s="16"/>
    </row>
    <row r="87" spans="1:13" hidden="1" x14ac:dyDescent="0.25">
      <c r="A87" s="22">
        <v>9</v>
      </c>
      <c r="B87" s="18" t="s">
        <v>31</v>
      </c>
      <c r="C87" s="18" t="s">
        <v>190</v>
      </c>
      <c r="D87" s="18">
        <v>262063</v>
      </c>
      <c r="E87" s="18" t="s">
        <v>17</v>
      </c>
      <c r="F87" s="18" t="s">
        <v>46</v>
      </c>
      <c r="G87" s="18" t="s">
        <v>19</v>
      </c>
      <c r="H87" s="18" t="s">
        <v>20</v>
      </c>
      <c r="I87" s="19">
        <v>45604</v>
      </c>
      <c r="J87" s="19">
        <v>45626</v>
      </c>
      <c r="K87" s="20">
        <v>14000</v>
      </c>
      <c r="L87" s="27"/>
      <c r="M87" s="28"/>
    </row>
    <row r="88" spans="1:13" ht="15.75" hidden="1" thickBot="1" x14ac:dyDescent="0.3">
      <c r="A88" s="185" t="s">
        <v>191</v>
      </c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7"/>
    </row>
    <row r="89" spans="1:13" hidden="1" x14ac:dyDescent="0.25">
      <c r="A89" s="35">
        <v>1</v>
      </c>
      <c r="B89" s="18" t="s">
        <v>31</v>
      </c>
      <c r="C89" s="18" t="s">
        <v>192</v>
      </c>
      <c r="D89" s="36">
        <v>262935</v>
      </c>
      <c r="E89" s="36" t="s">
        <v>193</v>
      </c>
      <c r="F89" s="36" t="s">
        <v>75</v>
      </c>
      <c r="G89" s="36" t="s">
        <v>24</v>
      </c>
      <c r="H89" s="36" t="s">
        <v>20</v>
      </c>
      <c r="I89" s="37">
        <v>45629</v>
      </c>
      <c r="J89" s="37">
        <v>45631</v>
      </c>
      <c r="K89" s="38">
        <v>12000</v>
      </c>
      <c r="L89" s="38"/>
      <c r="M89" s="39"/>
    </row>
    <row r="90" spans="1:13" x14ac:dyDescent="0.25">
      <c r="A90" s="12">
        <v>2</v>
      </c>
      <c r="B90" s="13" t="s">
        <v>16</v>
      </c>
      <c r="C90" s="13" t="s">
        <v>194</v>
      </c>
      <c r="D90" s="13">
        <v>263186</v>
      </c>
      <c r="E90" s="13" t="s">
        <v>36</v>
      </c>
      <c r="F90" s="13" t="s">
        <v>34</v>
      </c>
      <c r="G90" s="13" t="s">
        <v>19</v>
      </c>
      <c r="H90" s="13" t="s">
        <v>20</v>
      </c>
      <c r="I90" s="14">
        <v>45634</v>
      </c>
      <c r="J90" s="14">
        <v>45636</v>
      </c>
      <c r="K90" s="15">
        <v>38000</v>
      </c>
      <c r="L90" s="53" t="s">
        <v>195</v>
      </c>
      <c r="M90" s="16"/>
    </row>
    <row r="91" spans="1:13" hidden="1" x14ac:dyDescent="0.25">
      <c r="A91" s="13">
        <v>3</v>
      </c>
      <c r="B91" s="13" t="s">
        <v>40</v>
      </c>
      <c r="C91" s="13" t="s">
        <v>196</v>
      </c>
      <c r="D91" s="13">
        <v>263446</v>
      </c>
      <c r="E91" s="13" t="s">
        <v>33</v>
      </c>
      <c r="F91" s="13" t="s">
        <v>52</v>
      </c>
      <c r="G91" s="13" t="s">
        <v>19</v>
      </c>
      <c r="H91" s="13" t="s">
        <v>20</v>
      </c>
      <c r="I91" s="14">
        <v>44988</v>
      </c>
      <c r="J91" s="14">
        <v>45636</v>
      </c>
      <c r="K91" s="15">
        <v>32000</v>
      </c>
      <c r="L91" s="13"/>
      <c r="M91" s="13"/>
    </row>
    <row r="92" spans="1:13" hidden="1" x14ac:dyDescent="0.25">
      <c r="A92" s="13">
        <v>4</v>
      </c>
      <c r="B92" s="13" t="s">
        <v>40</v>
      </c>
      <c r="C92" s="13" t="s">
        <v>197</v>
      </c>
      <c r="D92" s="13">
        <v>263450</v>
      </c>
      <c r="E92" s="13" t="s">
        <v>33</v>
      </c>
      <c r="F92" s="13" t="s">
        <v>198</v>
      </c>
      <c r="G92" s="13" t="s">
        <v>19</v>
      </c>
      <c r="H92" s="13" t="s">
        <v>20</v>
      </c>
      <c r="I92" s="14">
        <v>45156</v>
      </c>
      <c r="J92" s="14">
        <v>45636</v>
      </c>
      <c r="K92" s="15">
        <v>23000</v>
      </c>
      <c r="L92" s="53" t="s">
        <v>199</v>
      </c>
      <c r="M92" s="13"/>
    </row>
    <row r="93" spans="1:13" hidden="1" x14ac:dyDescent="0.25">
      <c r="A93" s="13">
        <v>5</v>
      </c>
      <c r="B93" s="13" t="s">
        <v>31</v>
      </c>
      <c r="C93" s="13" t="s">
        <v>291</v>
      </c>
      <c r="D93" s="13">
        <v>263725</v>
      </c>
      <c r="E93" s="13" t="s">
        <v>33</v>
      </c>
      <c r="F93" s="13" t="s">
        <v>292</v>
      </c>
      <c r="G93" s="13" t="s">
        <v>24</v>
      </c>
      <c r="H93" s="13" t="s">
        <v>20</v>
      </c>
      <c r="I93" s="14">
        <v>45633</v>
      </c>
      <c r="J93" s="14">
        <v>45639</v>
      </c>
      <c r="K93" s="15">
        <v>18000</v>
      </c>
      <c r="L93" s="13"/>
      <c r="M93" s="13"/>
    </row>
    <row r="94" spans="1:13" hidden="1" x14ac:dyDescent="0.25">
      <c r="A94" s="13">
        <v>6</v>
      </c>
      <c r="B94" s="13" t="s">
        <v>31</v>
      </c>
      <c r="C94" s="13" t="s">
        <v>293</v>
      </c>
      <c r="D94" s="13">
        <v>264023</v>
      </c>
      <c r="E94" s="13" t="s">
        <v>193</v>
      </c>
      <c r="F94" s="13" t="s">
        <v>294</v>
      </c>
      <c r="G94" s="13" t="s">
        <v>19</v>
      </c>
      <c r="H94" s="13" t="s">
        <v>25</v>
      </c>
      <c r="I94" s="14">
        <v>45628</v>
      </c>
      <c r="J94" s="14">
        <v>45642</v>
      </c>
      <c r="K94" s="15">
        <v>160</v>
      </c>
      <c r="L94" s="13"/>
      <c r="M94" s="13"/>
    </row>
    <row r="95" spans="1:13" hidden="1" x14ac:dyDescent="0.25">
      <c r="A95" s="13">
        <v>7</v>
      </c>
      <c r="B95" s="13" t="s">
        <v>31</v>
      </c>
      <c r="C95" s="13" t="s">
        <v>295</v>
      </c>
      <c r="D95" s="13">
        <v>264030</v>
      </c>
      <c r="E95" s="13" t="s">
        <v>193</v>
      </c>
      <c r="F95" s="13" t="s">
        <v>96</v>
      </c>
      <c r="G95" s="13" t="s">
        <v>24</v>
      </c>
      <c r="H95" s="13" t="s">
        <v>20</v>
      </c>
      <c r="I95" s="14">
        <v>45629</v>
      </c>
      <c r="J95" s="14">
        <v>45642</v>
      </c>
      <c r="K95" s="15">
        <v>26000</v>
      </c>
      <c r="L95" s="13"/>
      <c r="M95" s="13"/>
    </row>
    <row r="96" spans="1:13" hidden="1" x14ac:dyDescent="0.25">
      <c r="A96" s="13">
        <v>8</v>
      </c>
      <c r="B96" s="13" t="s">
        <v>31</v>
      </c>
      <c r="C96" s="13" t="s">
        <v>296</v>
      </c>
      <c r="D96" s="13">
        <v>264039</v>
      </c>
      <c r="E96" s="13" t="s">
        <v>36</v>
      </c>
      <c r="F96" s="13" t="s">
        <v>297</v>
      </c>
      <c r="G96" s="13" t="s">
        <v>19</v>
      </c>
      <c r="H96" s="13" t="s">
        <v>20</v>
      </c>
      <c r="I96" s="14">
        <v>45635</v>
      </c>
      <c r="J96" s="14">
        <v>45642</v>
      </c>
      <c r="K96" s="15">
        <v>40000</v>
      </c>
      <c r="L96" s="13"/>
      <c r="M96" s="13"/>
    </row>
    <row r="97" spans="1:13" s="127" customFormat="1" hidden="1" x14ac:dyDescent="0.25">
      <c r="A97" s="18">
        <v>9</v>
      </c>
      <c r="B97" s="18" t="s">
        <v>122</v>
      </c>
      <c r="C97" s="18" t="s">
        <v>298</v>
      </c>
      <c r="D97" s="18">
        <v>252954</v>
      </c>
      <c r="E97" s="85" t="s">
        <v>42</v>
      </c>
      <c r="F97" s="18" t="s">
        <v>299</v>
      </c>
      <c r="G97" s="18" t="s">
        <v>24</v>
      </c>
      <c r="H97" s="18" t="s">
        <v>20</v>
      </c>
      <c r="I97" s="19">
        <v>45548</v>
      </c>
      <c r="J97" s="19">
        <v>45645</v>
      </c>
      <c r="K97" s="20">
        <v>280000</v>
      </c>
      <c r="L97" s="126" t="s">
        <v>242</v>
      </c>
      <c r="M97" s="86"/>
    </row>
    <row r="98" spans="1:13" hidden="1" x14ac:dyDescent="0.25">
      <c r="A98" s="13">
        <v>10</v>
      </c>
      <c r="B98" s="13" t="s">
        <v>21</v>
      </c>
      <c r="C98" s="13" t="s">
        <v>216</v>
      </c>
      <c r="D98" s="13">
        <v>264490</v>
      </c>
      <c r="E98" s="13" t="s">
        <v>193</v>
      </c>
      <c r="F98" s="13" t="s">
        <v>217</v>
      </c>
      <c r="G98" s="13" t="s">
        <v>24</v>
      </c>
      <c r="H98" s="13" t="s">
        <v>20</v>
      </c>
      <c r="I98" s="14">
        <v>45234</v>
      </c>
      <c r="J98" s="14">
        <v>45646</v>
      </c>
      <c r="K98" s="15">
        <v>22000</v>
      </c>
      <c r="L98" s="46"/>
      <c r="M98" s="49"/>
    </row>
    <row r="99" spans="1:13" hidden="1" x14ac:dyDescent="0.25">
      <c r="A99" s="13">
        <v>11</v>
      </c>
      <c r="B99" s="13" t="s">
        <v>122</v>
      </c>
      <c r="C99" s="13" t="s">
        <v>241</v>
      </c>
      <c r="D99" s="13">
        <v>264499</v>
      </c>
      <c r="E99" s="13" t="s">
        <v>193</v>
      </c>
      <c r="F99" s="13" t="s">
        <v>27</v>
      </c>
      <c r="G99" s="13" t="s">
        <v>24</v>
      </c>
      <c r="H99" s="13" t="s">
        <v>20</v>
      </c>
      <c r="I99" s="14">
        <v>45601</v>
      </c>
      <c r="J99" s="14">
        <v>45646</v>
      </c>
      <c r="K99" s="15">
        <v>30000</v>
      </c>
      <c r="L99" s="49" t="str">
        <f>+L97</f>
        <v>Habitat - Oriana Montilla</v>
      </c>
      <c r="M99" s="50"/>
    </row>
    <row r="100" spans="1:13" hidden="1" x14ac:dyDescent="0.25">
      <c r="A100" s="13">
        <v>12</v>
      </c>
      <c r="B100" s="13" t="s">
        <v>31</v>
      </c>
      <c r="C100" s="13" t="s">
        <v>300</v>
      </c>
      <c r="D100" s="13">
        <v>264936</v>
      </c>
      <c r="E100" s="13" t="s">
        <v>36</v>
      </c>
      <c r="F100" s="13" t="s">
        <v>301</v>
      </c>
      <c r="G100" s="13" t="s">
        <v>19</v>
      </c>
      <c r="H100" s="13" t="s">
        <v>20</v>
      </c>
      <c r="I100" s="14">
        <v>45653</v>
      </c>
      <c r="J100" s="14">
        <v>45653</v>
      </c>
      <c r="K100" s="15">
        <v>14000</v>
      </c>
      <c r="L100" s="50"/>
      <c r="M100" s="49"/>
    </row>
    <row r="101" spans="1:13" hidden="1" x14ac:dyDescent="0.25">
      <c r="A101" s="13">
        <v>13</v>
      </c>
      <c r="B101" s="13" t="s">
        <v>31</v>
      </c>
      <c r="C101" s="13" t="s">
        <v>302</v>
      </c>
      <c r="D101" s="13">
        <v>264953</v>
      </c>
      <c r="E101" s="13" t="s">
        <v>36</v>
      </c>
      <c r="F101" s="13" t="s">
        <v>301</v>
      </c>
      <c r="G101" s="13" t="s">
        <v>19</v>
      </c>
      <c r="H101" s="13" t="s">
        <v>20</v>
      </c>
      <c r="I101" s="14">
        <v>45653</v>
      </c>
      <c r="J101" s="14">
        <v>45653</v>
      </c>
      <c r="K101" s="15">
        <v>14000</v>
      </c>
      <c r="L101" s="50"/>
      <c r="M101" s="49"/>
    </row>
    <row r="102" spans="1:13" hidden="1" x14ac:dyDescent="0.25">
      <c r="A102" s="13">
        <v>14</v>
      </c>
      <c r="B102" s="13" t="s">
        <v>31</v>
      </c>
      <c r="C102" s="13" t="s">
        <v>303</v>
      </c>
      <c r="D102" s="13">
        <v>264966</v>
      </c>
      <c r="E102" s="13" t="s">
        <v>93</v>
      </c>
      <c r="F102" s="13" t="s">
        <v>304</v>
      </c>
      <c r="G102" s="13" t="s">
        <v>19</v>
      </c>
      <c r="H102" s="13" t="s">
        <v>25</v>
      </c>
      <c r="I102" s="14">
        <v>45511</v>
      </c>
      <c r="J102" s="14">
        <v>45653</v>
      </c>
      <c r="K102" s="15">
        <v>216</v>
      </c>
      <c r="L102" s="50"/>
      <c r="M102" s="49"/>
    </row>
    <row r="103" spans="1:13" hidden="1" x14ac:dyDescent="0.25">
      <c r="A103" s="13">
        <v>15</v>
      </c>
      <c r="B103" s="13" t="s">
        <v>31</v>
      </c>
      <c r="C103" s="13" t="s">
        <v>305</v>
      </c>
      <c r="D103" s="13">
        <v>264981</v>
      </c>
      <c r="E103" s="13" t="s">
        <v>93</v>
      </c>
      <c r="F103" s="13" t="s">
        <v>304</v>
      </c>
      <c r="G103" s="13" t="s">
        <v>19</v>
      </c>
      <c r="H103" s="13" t="s">
        <v>25</v>
      </c>
      <c r="I103" s="14">
        <v>45511</v>
      </c>
      <c r="J103" s="14">
        <v>45653</v>
      </c>
      <c r="K103" s="15">
        <v>304</v>
      </c>
      <c r="L103" s="50"/>
      <c r="M103" s="53"/>
    </row>
    <row r="104" spans="1:13" hidden="1" x14ac:dyDescent="0.25">
      <c r="A104" s="13">
        <v>16</v>
      </c>
      <c r="B104" s="13" t="s">
        <v>31</v>
      </c>
      <c r="C104" s="13" t="s">
        <v>306</v>
      </c>
      <c r="D104" s="13">
        <v>265004</v>
      </c>
      <c r="E104" s="13" t="s">
        <v>114</v>
      </c>
      <c r="F104" s="13" t="s">
        <v>307</v>
      </c>
      <c r="G104" s="13" t="s">
        <v>19</v>
      </c>
      <c r="H104" s="13" t="s">
        <v>20</v>
      </c>
      <c r="I104" s="14">
        <v>45653</v>
      </c>
      <c r="J104" s="14">
        <v>45653</v>
      </c>
      <c r="K104" s="15">
        <v>10000</v>
      </c>
      <c r="L104" s="128" t="s">
        <v>199</v>
      </c>
      <c r="M104" s="53"/>
    </row>
    <row r="105" spans="1:13" hidden="1" x14ac:dyDescent="0.25">
      <c r="A105" s="13">
        <v>17</v>
      </c>
      <c r="B105" s="13" t="s">
        <v>31</v>
      </c>
      <c r="C105" s="13" t="s">
        <v>308</v>
      </c>
      <c r="D105" s="13">
        <v>265137</v>
      </c>
      <c r="E105" s="13" t="s">
        <v>309</v>
      </c>
      <c r="F105" s="13" t="s">
        <v>310</v>
      </c>
      <c r="G105" s="13" t="s">
        <v>19</v>
      </c>
      <c r="H105" s="13" t="s">
        <v>20</v>
      </c>
      <c r="I105" s="14">
        <v>45653</v>
      </c>
      <c r="J105" s="14">
        <v>45656</v>
      </c>
      <c r="K105" s="15">
        <v>120000</v>
      </c>
      <c r="L105" s="50"/>
      <c r="M105" s="53"/>
    </row>
    <row r="106" spans="1:13" hidden="1" x14ac:dyDescent="0.25">
      <c r="A106" s="13">
        <v>18</v>
      </c>
      <c r="B106" s="13" t="s">
        <v>31</v>
      </c>
      <c r="C106" s="13" t="s">
        <v>311</v>
      </c>
      <c r="D106" s="13">
        <v>265140</v>
      </c>
      <c r="E106" s="13" t="s">
        <v>36</v>
      </c>
      <c r="F106" s="13" t="s">
        <v>312</v>
      </c>
      <c r="G106" s="13" t="s">
        <v>19</v>
      </c>
      <c r="H106" s="13" t="s">
        <v>20</v>
      </c>
      <c r="I106" s="14">
        <v>45653</v>
      </c>
      <c r="J106" s="14">
        <v>45656</v>
      </c>
      <c r="K106" s="15">
        <v>37000</v>
      </c>
      <c r="L106" s="50"/>
      <c r="M106" s="49"/>
    </row>
    <row r="107" spans="1:13" hidden="1" x14ac:dyDescent="0.25">
      <c r="A107" s="13">
        <v>19</v>
      </c>
      <c r="B107" s="13" t="s">
        <v>31</v>
      </c>
      <c r="C107" s="13" t="s">
        <v>313</v>
      </c>
      <c r="D107" s="13">
        <v>265150</v>
      </c>
      <c r="E107" s="13" t="s">
        <v>193</v>
      </c>
      <c r="F107" s="13" t="s">
        <v>314</v>
      </c>
      <c r="G107" s="13" t="s">
        <v>24</v>
      </c>
      <c r="H107" s="13" t="s">
        <v>20</v>
      </c>
      <c r="I107" s="14">
        <v>45611</v>
      </c>
      <c r="J107" s="14">
        <v>45656</v>
      </c>
      <c r="K107" s="15">
        <v>20000</v>
      </c>
      <c r="L107" s="13"/>
      <c r="M107" s="13"/>
    </row>
    <row r="108" spans="1:13" hidden="1" x14ac:dyDescent="0.25">
      <c r="A108" s="13">
        <v>20</v>
      </c>
      <c r="B108" s="13" t="s">
        <v>31</v>
      </c>
      <c r="C108" s="13" t="s">
        <v>315</v>
      </c>
      <c r="D108" s="13">
        <v>265247</v>
      </c>
      <c r="E108" s="13" t="s">
        <v>316</v>
      </c>
      <c r="F108" s="13" t="s">
        <v>304</v>
      </c>
      <c r="G108" s="13" t="s">
        <v>19</v>
      </c>
      <c r="H108" s="13" t="s">
        <v>25</v>
      </c>
      <c r="I108" s="14">
        <v>45511</v>
      </c>
      <c r="J108" s="14">
        <v>45656</v>
      </c>
      <c r="K108" s="15">
        <v>144</v>
      </c>
      <c r="L108" s="13"/>
      <c r="M108" s="13"/>
    </row>
    <row r="109" spans="1:13" hidden="1" x14ac:dyDescent="0.25">
      <c r="A109" s="13">
        <v>21</v>
      </c>
      <c r="B109" s="13" t="s">
        <v>31</v>
      </c>
      <c r="C109" s="13" t="s">
        <v>317</v>
      </c>
      <c r="D109" s="13">
        <v>265254</v>
      </c>
      <c r="E109" s="13" t="s">
        <v>318</v>
      </c>
      <c r="F109" s="13" t="s">
        <v>304</v>
      </c>
      <c r="G109" s="13" t="s">
        <v>19</v>
      </c>
      <c r="H109" s="13" t="s">
        <v>25</v>
      </c>
      <c r="I109" s="14">
        <v>45511</v>
      </c>
      <c r="J109" s="14">
        <v>45656</v>
      </c>
      <c r="K109" s="15">
        <v>152</v>
      </c>
      <c r="L109" s="50"/>
      <c r="M109" s="50"/>
    </row>
    <row r="110" spans="1:13" hidden="1" x14ac:dyDescent="0.25">
      <c r="A110" s="13">
        <v>23</v>
      </c>
      <c r="B110" s="13" t="s">
        <v>31</v>
      </c>
      <c r="C110" s="13" t="s">
        <v>319</v>
      </c>
      <c r="D110" s="13">
        <v>265260</v>
      </c>
      <c r="E110" s="13" t="s">
        <v>320</v>
      </c>
      <c r="F110" s="13" t="s">
        <v>304</v>
      </c>
      <c r="G110" s="13" t="s">
        <v>19</v>
      </c>
      <c r="H110" s="13" t="s">
        <v>25</v>
      </c>
      <c r="I110" s="14">
        <v>45511</v>
      </c>
      <c r="J110" s="14">
        <v>45656</v>
      </c>
      <c r="K110" s="15">
        <v>148</v>
      </c>
      <c r="L110" s="50"/>
      <c r="M110" s="50"/>
    </row>
    <row r="111" spans="1:13" hidden="1" x14ac:dyDescent="0.25">
      <c r="A111" s="13">
        <v>24</v>
      </c>
      <c r="B111" s="13" t="s">
        <v>31</v>
      </c>
      <c r="C111" s="13" t="s">
        <v>321</v>
      </c>
      <c r="D111" s="13">
        <v>265262</v>
      </c>
      <c r="E111" s="13" t="s">
        <v>322</v>
      </c>
      <c r="F111" s="13" t="s">
        <v>304</v>
      </c>
      <c r="G111" s="13" t="s">
        <v>19</v>
      </c>
      <c r="H111" s="13" t="s">
        <v>25</v>
      </c>
      <c r="I111" s="14">
        <v>45511</v>
      </c>
      <c r="J111" s="14">
        <v>45656</v>
      </c>
      <c r="K111" s="15">
        <v>200</v>
      </c>
      <c r="L111" s="50"/>
      <c r="M111" s="50"/>
    </row>
    <row r="112" spans="1:13" hidden="1" x14ac:dyDescent="0.25">
      <c r="A112" s="13">
        <v>25</v>
      </c>
      <c r="B112" s="13" t="s">
        <v>31</v>
      </c>
      <c r="C112" s="13" t="s">
        <v>323</v>
      </c>
      <c r="D112" s="13">
        <v>265266</v>
      </c>
      <c r="E112" s="13" t="s">
        <v>324</v>
      </c>
      <c r="F112" s="13" t="s">
        <v>304</v>
      </c>
      <c r="G112" s="13" t="s">
        <v>19</v>
      </c>
      <c r="H112" s="13" t="s">
        <v>25</v>
      </c>
      <c r="I112" s="14">
        <v>45511</v>
      </c>
      <c r="J112" s="14">
        <v>45656</v>
      </c>
      <c r="K112" s="15">
        <v>308</v>
      </c>
      <c r="L112" s="50"/>
      <c r="M112" s="50"/>
    </row>
    <row r="113" spans="1:13" hidden="1" x14ac:dyDescent="0.25">
      <c r="A113" s="13">
        <v>26</v>
      </c>
      <c r="B113" s="13" t="s">
        <v>31</v>
      </c>
      <c r="C113" s="13" t="s">
        <v>325</v>
      </c>
      <c r="D113" s="13">
        <v>265268</v>
      </c>
      <c r="E113" s="13" t="s">
        <v>326</v>
      </c>
      <c r="F113" s="13" t="s">
        <v>304</v>
      </c>
      <c r="G113" s="13" t="s">
        <v>19</v>
      </c>
      <c r="H113" s="13" t="s">
        <v>25</v>
      </c>
      <c r="I113" s="14">
        <v>45511</v>
      </c>
      <c r="J113" s="14">
        <v>45656</v>
      </c>
      <c r="K113" s="15">
        <v>208</v>
      </c>
      <c r="L113" s="50"/>
      <c r="M113" s="50"/>
    </row>
    <row r="114" spans="1:13" hidden="1" x14ac:dyDescent="0.25">
      <c r="A114" s="13">
        <v>27</v>
      </c>
      <c r="B114" s="13" t="s">
        <v>31</v>
      </c>
      <c r="C114" s="13" t="s">
        <v>327</v>
      </c>
      <c r="D114" s="13">
        <v>265272</v>
      </c>
      <c r="E114" s="13" t="s">
        <v>328</v>
      </c>
      <c r="F114" s="13" t="s">
        <v>304</v>
      </c>
      <c r="G114" s="13" t="s">
        <v>19</v>
      </c>
      <c r="H114" s="13" t="s">
        <v>25</v>
      </c>
      <c r="I114" s="14">
        <v>45511</v>
      </c>
      <c r="J114" s="14">
        <v>45656</v>
      </c>
      <c r="K114" s="15">
        <v>200</v>
      </c>
      <c r="L114" s="50"/>
      <c r="M114" s="50"/>
    </row>
    <row r="115" spans="1:13" hidden="1" x14ac:dyDescent="0.25">
      <c r="A115" s="13">
        <v>28</v>
      </c>
      <c r="B115" s="13" t="s">
        <v>31</v>
      </c>
      <c r="C115" s="13" t="s">
        <v>329</v>
      </c>
      <c r="D115" s="13">
        <v>265275</v>
      </c>
      <c r="E115" s="13" t="s">
        <v>330</v>
      </c>
      <c r="F115" s="13" t="s">
        <v>304</v>
      </c>
      <c r="G115" s="13" t="s">
        <v>19</v>
      </c>
      <c r="H115" s="13" t="s">
        <v>25</v>
      </c>
      <c r="I115" s="14">
        <v>45511</v>
      </c>
      <c r="J115" s="14">
        <v>45656</v>
      </c>
      <c r="K115" s="15">
        <v>308</v>
      </c>
      <c r="L115" s="50"/>
      <c r="M115" s="50"/>
    </row>
  </sheetData>
  <autoFilter ref="A6:M115" xr:uid="{111F409D-478F-427D-8394-C24CBEF32358}">
    <filterColumn colId="1">
      <filters>
        <filter val="Elsa Perez"/>
      </filters>
    </filterColumn>
  </autoFilter>
  <mergeCells count="13">
    <mergeCell ref="A30:M30"/>
    <mergeCell ref="B3:K3"/>
    <mergeCell ref="A7:M7"/>
    <mergeCell ref="A15:M15"/>
    <mergeCell ref="A21:M21"/>
    <mergeCell ref="A23:M23"/>
    <mergeCell ref="A88:M88"/>
    <mergeCell ref="A35:M35"/>
    <mergeCell ref="A45:M45"/>
    <mergeCell ref="A52:M52"/>
    <mergeCell ref="A60:M60"/>
    <mergeCell ref="A72:M72"/>
    <mergeCell ref="A78:M7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DE82-8210-4407-AF82-F6A22C88A0E8}">
  <sheetPr>
    <tabColor theme="4" tint="0.79998168889431442"/>
  </sheetPr>
  <dimension ref="A1:M192"/>
  <sheetViews>
    <sheetView topLeftCell="A151" workbookViewId="0">
      <selection activeCell="D160" sqref="D160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9.28515625" bestFit="1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.7109375" customWidth="1"/>
    <col min="13" max="13" width="30.5703125" customWidth="1"/>
  </cols>
  <sheetData>
    <row r="1" spans="1:13" x14ac:dyDescent="0.25">
      <c r="L1" s="1"/>
      <c r="M1" s="2"/>
    </row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  <c r="L2" s="1"/>
      <c r="M2" s="2"/>
    </row>
    <row r="3" spans="1:13" ht="18" x14ac:dyDescent="0.25">
      <c r="A3" s="1"/>
      <c r="B3" s="188" t="s">
        <v>0</v>
      </c>
      <c r="C3" s="188"/>
      <c r="D3" s="188"/>
      <c r="E3" s="188"/>
      <c r="F3" s="188"/>
      <c r="G3" s="188"/>
      <c r="H3" s="188"/>
      <c r="I3" s="188"/>
      <c r="J3" s="188"/>
      <c r="K3" s="188"/>
      <c r="L3" s="1"/>
      <c r="M3" s="2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  <c r="L4" s="1"/>
      <c r="M4" s="2"/>
    </row>
    <row r="5" spans="1:13" ht="15.75" thickBot="1" x14ac:dyDescent="0.3">
      <c r="A5" s="1"/>
      <c r="I5" s="5"/>
      <c r="L5" s="1"/>
      <c r="M5" s="2"/>
    </row>
    <row r="6" spans="1:13" ht="32.25" thickBot="1" x14ac:dyDescent="0.3">
      <c r="A6" s="6" t="s">
        <v>2</v>
      </c>
      <c r="B6" s="7" t="s">
        <v>3</v>
      </c>
      <c r="C6" s="8" t="s">
        <v>4</v>
      </c>
      <c r="D6" s="9" t="s">
        <v>5</v>
      </c>
      <c r="E6" s="9" t="s">
        <v>6</v>
      </c>
      <c r="F6" s="10" t="s">
        <v>7</v>
      </c>
      <c r="G6" s="10" t="s">
        <v>8</v>
      </c>
      <c r="H6" s="9" t="s">
        <v>9</v>
      </c>
      <c r="I6" s="10" t="s">
        <v>10</v>
      </c>
      <c r="J6" s="9" t="s">
        <v>11</v>
      </c>
      <c r="K6" s="10" t="s">
        <v>12</v>
      </c>
      <c r="L6" s="11" t="s">
        <v>13</v>
      </c>
      <c r="M6" s="11" t="s">
        <v>14</v>
      </c>
    </row>
    <row r="7" spans="1:13" ht="15.75" thickBot="1" x14ac:dyDescent="0.3">
      <c r="A7" s="185" t="s">
        <v>15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7"/>
    </row>
    <row r="8" spans="1:13" x14ac:dyDescent="0.25">
      <c r="A8" s="13">
        <v>1</v>
      </c>
      <c r="B8" s="13" t="s">
        <v>16</v>
      </c>
      <c r="C8" s="13" t="s">
        <v>222</v>
      </c>
      <c r="D8" s="13">
        <v>267804</v>
      </c>
      <c r="E8" s="13" t="s">
        <v>17</v>
      </c>
      <c r="F8" s="13" t="s">
        <v>223</v>
      </c>
      <c r="G8" s="13" t="s">
        <v>24</v>
      </c>
      <c r="H8" s="13" t="s">
        <v>20</v>
      </c>
      <c r="I8" s="14">
        <v>45313</v>
      </c>
      <c r="J8" s="14">
        <v>45684</v>
      </c>
      <c r="K8" s="15">
        <v>13000</v>
      </c>
      <c r="L8" s="82" t="s">
        <v>220</v>
      </c>
      <c r="M8" s="36"/>
    </row>
    <row r="9" spans="1:13" x14ac:dyDescent="0.25">
      <c r="A9" s="13">
        <v>2</v>
      </c>
      <c r="B9" s="13" t="s">
        <v>40</v>
      </c>
      <c r="C9" s="13" t="s">
        <v>225</v>
      </c>
      <c r="D9" s="13">
        <v>268294</v>
      </c>
      <c r="E9" s="13" t="s">
        <v>17</v>
      </c>
      <c r="F9" s="13" t="s">
        <v>217</v>
      </c>
      <c r="G9" s="13" t="s">
        <v>19</v>
      </c>
      <c r="H9" s="13" t="s">
        <v>20</v>
      </c>
      <c r="I9" s="14">
        <v>45674</v>
      </c>
      <c r="J9" s="14">
        <v>45686</v>
      </c>
      <c r="K9" s="15">
        <v>23000</v>
      </c>
      <c r="L9" s="82"/>
      <c r="M9" s="13"/>
    </row>
    <row r="10" spans="1:13" x14ac:dyDescent="0.25">
      <c r="A10" s="13">
        <v>3</v>
      </c>
      <c r="B10" s="13" t="s">
        <v>31</v>
      </c>
      <c r="C10" s="13" t="s">
        <v>226</v>
      </c>
      <c r="D10" s="13">
        <v>269128</v>
      </c>
      <c r="E10" s="13" t="s">
        <v>103</v>
      </c>
      <c r="F10" s="48" t="s">
        <v>227</v>
      </c>
      <c r="G10" s="13" t="s">
        <v>19</v>
      </c>
      <c r="H10" s="13" t="s">
        <v>25</v>
      </c>
      <c r="I10" s="14">
        <v>45658</v>
      </c>
      <c r="J10" s="14">
        <v>45688</v>
      </c>
      <c r="K10" s="15">
        <v>200</v>
      </c>
      <c r="L10" s="53"/>
      <c r="M10" s="18"/>
    </row>
    <row r="11" spans="1:13" x14ac:dyDescent="0.25">
      <c r="A11" s="13">
        <v>4</v>
      </c>
      <c r="B11" s="13" t="s">
        <v>31</v>
      </c>
      <c r="C11" s="13" t="s">
        <v>228</v>
      </c>
      <c r="D11" s="13">
        <v>269132</v>
      </c>
      <c r="E11" s="13" t="s">
        <v>103</v>
      </c>
      <c r="F11" s="48" t="s">
        <v>229</v>
      </c>
      <c r="G11" s="13" t="s">
        <v>19</v>
      </c>
      <c r="H11" s="13" t="s">
        <v>25</v>
      </c>
      <c r="I11" s="14">
        <v>45658</v>
      </c>
      <c r="J11" s="14">
        <v>45688</v>
      </c>
      <c r="K11" s="15">
        <v>204</v>
      </c>
      <c r="L11" s="53"/>
      <c r="M11" s="18"/>
    </row>
    <row r="12" spans="1:13" x14ac:dyDescent="0.25">
      <c r="A12" s="13">
        <v>5</v>
      </c>
      <c r="B12" s="13" t="s">
        <v>31</v>
      </c>
      <c r="C12" s="13" t="s">
        <v>230</v>
      </c>
      <c r="D12" s="13">
        <v>269142</v>
      </c>
      <c r="E12" s="13" t="s">
        <v>103</v>
      </c>
      <c r="F12" s="48" t="s">
        <v>232</v>
      </c>
      <c r="G12" s="13" t="s">
        <v>19</v>
      </c>
      <c r="H12" s="13" t="s">
        <v>25</v>
      </c>
      <c r="I12" s="14">
        <v>45658</v>
      </c>
      <c r="J12" s="14">
        <v>45688</v>
      </c>
      <c r="K12" s="15">
        <v>304</v>
      </c>
      <c r="L12" s="53"/>
      <c r="M12" s="13"/>
    </row>
    <row r="13" spans="1:13" ht="15.75" thickBot="1" x14ac:dyDescent="0.3">
      <c r="A13" s="13">
        <v>6</v>
      </c>
      <c r="B13" s="13" t="s">
        <v>31</v>
      </c>
      <c r="C13" s="13" t="s">
        <v>231</v>
      </c>
      <c r="D13" s="13">
        <v>269150</v>
      </c>
      <c r="E13" s="13" t="s">
        <v>103</v>
      </c>
      <c r="F13" s="48" t="s">
        <v>233</v>
      </c>
      <c r="G13" s="13" t="s">
        <v>19</v>
      </c>
      <c r="H13" s="13" t="s">
        <v>25</v>
      </c>
      <c r="I13" s="14">
        <v>45658</v>
      </c>
      <c r="J13" s="14">
        <v>45688</v>
      </c>
      <c r="K13" s="15">
        <v>204</v>
      </c>
      <c r="L13" s="53"/>
      <c r="M13" s="18"/>
    </row>
    <row r="14" spans="1:13" ht="15.75" thickBot="1" x14ac:dyDescent="0.3">
      <c r="A14" s="185" t="s">
        <v>51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7"/>
    </row>
    <row r="15" spans="1:13" x14ac:dyDescent="0.25">
      <c r="A15" s="18">
        <v>1</v>
      </c>
      <c r="B15" s="18" t="s">
        <v>16</v>
      </c>
      <c r="C15" s="18" t="s">
        <v>234</v>
      </c>
      <c r="D15" s="18">
        <v>268756</v>
      </c>
      <c r="E15" s="18" t="s">
        <v>101</v>
      </c>
      <c r="F15" s="18" t="s">
        <v>235</v>
      </c>
      <c r="G15" s="18" t="s">
        <v>19</v>
      </c>
      <c r="H15" s="18" t="s">
        <v>20</v>
      </c>
      <c r="I15" s="19">
        <v>45687</v>
      </c>
      <c r="J15" s="19">
        <v>45698</v>
      </c>
      <c r="K15" s="20">
        <v>15000</v>
      </c>
      <c r="L15" s="27" t="s">
        <v>195</v>
      </c>
      <c r="M15" s="18"/>
    </row>
    <row r="16" spans="1:13" x14ac:dyDescent="0.25">
      <c r="A16" s="18">
        <v>2</v>
      </c>
      <c r="B16" s="18" t="s">
        <v>16</v>
      </c>
      <c r="C16" s="18" t="s">
        <v>236</v>
      </c>
      <c r="D16" s="18">
        <v>269923</v>
      </c>
      <c r="E16" s="18" t="s">
        <v>36</v>
      </c>
      <c r="F16" s="27" t="s">
        <v>237</v>
      </c>
      <c r="G16" s="18" t="s">
        <v>19</v>
      </c>
      <c r="H16" s="18" t="s">
        <v>20</v>
      </c>
      <c r="I16" s="19">
        <v>45695</v>
      </c>
      <c r="J16" s="19">
        <v>45698</v>
      </c>
      <c r="K16" s="20">
        <v>80000</v>
      </c>
      <c r="L16" s="18"/>
      <c r="M16" s="18"/>
    </row>
    <row r="17" spans="1:13" x14ac:dyDescent="0.25">
      <c r="A17" s="18">
        <v>3</v>
      </c>
      <c r="B17" s="18" t="s">
        <v>16</v>
      </c>
      <c r="C17" s="18" t="s">
        <v>238</v>
      </c>
      <c r="D17" s="18">
        <v>269967</v>
      </c>
      <c r="E17" s="18" t="s">
        <v>36</v>
      </c>
      <c r="F17" s="18" t="s">
        <v>39</v>
      </c>
      <c r="G17" s="18" t="s">
        <v>19</v>
      </c>
      <c r="H17" s="18" t="s">
        <v>20</v>
      </c>
      <c r="I17" s="19">
        <v>45695</v>
      </c>
      <c r="J17" s="19">
        <v>45698</v>
      </c>
      <c r="K17" s="20">
        <v>50000</v>
      </c>
      <c r="L17" s="18"/>
      <c r="M17" s="18"/>
    </row>
    <row r="18" spans="1:13" x14ac:dyDescent="0.25">
      <c r="A18" s="105">
        <v>4</v>
      </c>
      <c r="B18" s="105" t="s">
        <v>40</v>
      </c>
      <c r="C18" s="105" t="s">
        <v>240</v>
      </c>
      <c r="D18" s="72">
        <v>270817</v>
      </c>
      <c r="E18" s="105" t="s">
        <v>17</v>
      </c>
      <c r="F18" s="106" t="s">
        <v>239</v>
      </c>
      <c r="G18" s="105" t="s">
        <v>19</v>
      </c>
      <c r="H18" s="105" t="s">
        <v>20</v>
      </c>
      <c r="I18" s="14">
        <v>45696</v>
      </c>
      <c r="J18" s="14">
        <v>45701</v>
      </c>
      <c r="K18" s="15">
        <v>15000</v>
      </c>
      <c r="L18" s="82"/>
      <c r="M18" s="15"/>
    </row>
    <row r="19" spans="1:13" x14ac:dyDescent="0.25">
      <c r="A19" s="13">
        <v>5</v>
      </c>
      <c r="B19" s="13" t="s">
        <v>16</v>
      </c>
      <c r="C19" s="13" t="s">
        <v>244</v>
      </c>
      <c r="D19" s="13">
        <v>271753</v>
      </c>
      <c r="E19" s="13" t="s">
        <v>17</v>
      </c>
      <c r="F19" s="13" t="s">
        <v>83</v>
      </c>
      <c r="G19" s="13" t="s">
        <v>19</v>
      </c>
      <c r="H19" s="13" t="s">
        <v>20</v>
      </c>
      <c r="I19" s="14">
        <v>45708</v>
      </c>
      <c r="J19" s="14">
        <v>45712</v>
      </c>
      <c r="K19" s="15">
        <v>18500</v>
      </c>
      <c r="L19" s="82"/>
      <c r="M19" s="13"/>
    </row>
    <row r="20" spans="1:13" x14ac:dyDescent="0.25">
      <c r="A20" s="13">
        <v>6</v>
      </c>
      <c r="B20" s="13" t="s">
        <v>16</v>
      </c>
      <c r="C20" s="13" t="s">
        <v>245</v>
      </c>
      <c r="D20" s="13">
        <v>272082</v>
      </c>
      <c r="E20" s="13" t="s">
        <v>33</v>
      </c>
      <c r="F20" s="13" t="s">
        <v>246</v>
      </c>
      <c r="G20" s="13" t="s">
        <v>19</v>
      </c>
      <c r="H20" s="13" t="s">
        <v>20</v>
      </c>
      <c r="I20" s="14">
        <v>45711</v>
      </c>
      <c r="J20" s="14">
        <v>45712</v>
      </c>
      <c r="K20" s="15">
        <v>31000</v>
      </c>
      <c r="L20" s="53"/>
      <c r="M20" s="13"/>
    </row>
    <row r="21" spans="1:13" x14ac:dyDescent="0.25">
      <c r="A21" s="13">
        <v>7</v>
      </c>
      <c r="B21" s="13" t="s">
        <v>16</v>
      </c>
      <c r="C21" s="13" t="s">
        <v>247</v>
      </c>
      <c r="D21" s="13">
        <v>270103</v>
      </c>
      <c r="E21" s="13" t="s">
        <v>17</v>
      </c>
      <c r="F21" s="46" t="s">
        <v>250</v>
      </c>
      <c r="G21" s="13" t="s">
        <v>24</v>
      </c>
      <c r="H21" s="13" t="s">
        <v>20</v>
      </c>
      <c r="I21" s="14">
        <v>45714</v>
      </c>
      <c r="J21" s="14">
        <v>45716</v>
      </c>
      <c r="K21" s="15">
        <v>26800</v>
      </c>
      <c r="L21" s="53" t="s">
        <v>252</v>
      </c>
      <c r="M21" s="13"/>
    </row>
    <row r="22" spans="1:13" x14ac:dyDescent="0.25">
      <c r="A22" s="13">
        <v>8</v>
      </c>
      <c r="B22" s="13" t="s">
        <v>16</v>
      </c>
      <c r="C22" s="13" t="s">
        <v>248</v>
      </c>
      <c r="D22" s="13">
        <v>272707</v>
      </c>
      <c r="E22" s="13" t="s">
        <v>17</v>
      </c>
      <c r="F22" s="48" t="s">
        <v>251</v>
      </c>
      <c r="G22" s="13" t="s">
        <v>24</v>
      </c>
      <c r="H22" s="13" t="s">
        <v>20</v>
      </c>
      <c r="I22" s="14">
        <v>45714</v>
      </c>
      <c r="J22" s="14">
        <v>45716</v>
      </c>
      <c r="K22" s="15">
        <v>27000</v>
      </c>
      <c r="L22" s="53" t="s">
        <v>252</v>
      </c>
      <c r="M22" s="13"/>
    </row>
    <row r="23" spans="1:13" x14ac:dyDescent="0.25">
      <c r="A23" s="13">
        <v>9</v>
      </c>
      <c r="B23" s="13" t="s">
        <v>16</v>
      </c>
      <c r="C23" s="13" t="s">
        <v>249</v>
      </c>
      <c r="D23" s="13">
        <v>272979</v>
      </c>
      <c r="E23" s="13" t="s">
        <v>33</v>
      </c>
      <c r="F23" s="13" t="s">
        <v>253</v>
      </c>
      <c r="G23" s="13" t="s">
        <v>19</v>
      </c>
      <c r="H23" s="13" t="s">
        <v>20</v>
      </c>
      <c r="I23" s="14">
        <v>45713</v>
      </c>
      <c r="J23" s="14">
        <v>45716</v>
      </c>
      <c r="K23" s="15">
        <v>35000</v>
      </c>
      <c r="L23" s="53" t="s">
        <v>254</v>
      </c>
      <c r="M23" s="13"/>
    </row>
    <row r="24" spans="1:13" ht="15.75" thickBot="1" x14ac:dyDescent="0.3">
      <c r="A24" s="13">
        <v>10</v>
      </c>
      <c r="B24" s="13" t="s">
        <v>16</v>
      </c>
      <c r="C24" s="13" t="s">
        <v>255</v>
      </c>
      <c r="D24" s="13">
        <v>273003</v>
      </c>
      <c r="E24" s="13" t="s">
        <v>17</v>
      </c>
      <c r="F24" s="46" t="s">
        <v>181</v>
      </c>
      <c r="G24" s="13" t="s">
        <v>24</v>
      </c>
      <c r="H24" s="13" t="s">
        <v>20</v>
      </c>
      <c r="I24" s="14">
        <v>45715</v>
      </c>
      <c r="J24" s="14">
        <v>45716</v>
      </c>
      <c r="K24" s="15">
        <v>17500</v>
      </c>
      <c r="L24" s="53" t="s">
        <v>256</v>
      </c>
      <c r="M24" s="13"/>
    </row>
    <row r="25" spans="1:13" ht="15.75" thickBot="1" x14ac:dyDescent="0.3">
      <c r="A25" s="185" t="s">
        <v>66</v>
      </c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7"/>
    </row>
    <row r="26" spans="1:13" x14ac:dyDescent="0.25">
      <c r="A26" s="13">
        <v>1</v>
      </c>
      <c r="B26" s="13" t="s">
        <v>40</v>
      </c>
      <c r="C26" s="13" t="s">
        <v>257</v>
      </c>
      <c r="D26" s="13">
        <v>273442</v>
      </c>
      <c r="E26" s="13" t="s">
        <v>36</v>
      </c>
      <c r="F26" s="13" t="s">
        <v>258</v>
      </c>
      <c r="G26" s="13" t="s">
        <v>19</v>
      </c>
      <c r="H26" s="13" t="s">
        <v>20</v>
      </c>
      <c r="I26" s="14">
        <v>45712</v>
      </c>
      <c r="J26" s="14">
        <v>45719</v>
      </c>
      <c r="K26" s="15">
        <v>65000</v>
      </c>
      <c r="L26" s="82"/>
      <c r="M26" s="15"/>
    </row>
    <row r="27" spans="1:13" x14ac:dyDescent="0.25">
      <c r="A27" s="13">
        <v>2</v>
      </c>
      <c r="B27" s="13" t="s">
        <v>16</v>
      </c>
      <c r="C27" s="13" t="s">
        <v>259</v>
      </c>
      <c r="D27" s="13">
        <v>273421</v>
      </c>
      <c r="E27" s="13" t="s">
        <v>17</v>
      </c>
      <c r="F27" s="13" t="s">
        <v>134</v>
      </c>
      <c r="G27" s="13" t="s">
        <v>19</v>
      </c>
      <c r="H27" s="13" t="s">
        <v>20</v>
      </c>
      <c r="I27" s="14">
        <v>45718</v>
      </c>
      <c r="J27" s="14">
        <v>45721</v>
      </c>
      <c r="K27" s="15">
        <v>15000</v>
      </c>
      <c r="L27" s="82"/>
      <c r="M27" s="13"/>
    </row>
    <row r="28" spans="1:13" x14ac:dyDescent="0.25">
      <c r="A28" s="13">
        <v>3</v>
      </c>
      <c r="B28" s="13" t="s">
        <v>16</v>
      </c>
      <c r="C28" s="13" t="s">
        <v>260</v>
      </c>
      <c r="D28" s="13">
        <v>273208</v>
      </c>
      <c r="E28" s="13" t="s">
        <v>93</v>
      </c>
      <c r="F28" s="13" t="s">
        <v>261</v>
      </c>
      <c r="G28" s="13" t="s">
        <v>19</v>
      </c>
      <c r="H28" s="13" t="s">
        <v>20</v>
      </c>
      <c r="I28" s="14">
        <v>45717</v>
      </c>
      <c r="J28" s="14">
        <v>45721</v>
      </c>
      <c r="K28" s="15">
        <v>20000</v>
      </c>
      <c r="L28" s="53" t="s">
        <v>262</v>
      </c>
      <c r="M28" s="13"/>
    </row>
    <row r="29" spans="1:13" x14ac:dyDescent="0.25">
      <c r="A29" s="13">
        <v>4</v>
      </c>
      <c r="B29" s="13" t="s">
        <v>40</v>
      </c>
      <c r="C29" s="13" t="s">
        <v>263</v>
      </c>
      <c r="D29" s="13">
        <v>273392</v>
      </c>
      <c r="E29" s="13" t="s">
        <v>101</v>
      </c>
      <c r="F29" s="13" t="s">
        <v>49</v>
      </c>
      <c r="G29" s="13" t="s">
        <v>19</v>
      </c>
      <c r="H29" s="13" t="s">
        <v>20</v>
      </c>
      <c r="I29" s="14">
        <v>45712</v>
      </c>
      <c r="J29" s="14">
        <v>45721</v>
      </c>
      <c r="K29" s="15">
        <v>46000</v>
      </c>
      <c r="L29" s="53"/>
      <c r="M29" s="13"/>
    </row>
    <row r="30" spans="1:13" x14ac:dyDescent="0.25">
      <c r="A30" s="13">
        <v>5</v>
      </c>
      <c r="B30" s="13" t="s">
        <v>40</v>
      </c>
      <c r="C30" s="13" t="s">
        <v>264</v>
      </c>
      <c r="D30" s="13">
        <v>273441</v>
      </c>
      <c r="E30" s="13" t="s">
        <v>93</v>
      </c>
      <c r="F30" s="13" t="s">
        <v>49</v>
      </c>
      <c r="G30" s="13" t="s">
        <v>19</v>
      </c>
      <c r="H30" s="13" t="s">
        <v>20</v>
      </c>
      <c r="I30" s="14">
        <v>45712</v>
      </c>
      <c r="J30" s="14">
        <v>45722</v>
      </c>
      <c r="K30" s="15">
        <v>90000</v>
      </c>
      <c r="L30" s="53"/>
      <c r="M30" s="13"/>
    </row>
    <row r="31" spans="1:13" x14ac:dyDescent="0.25">
      <c r="A31" s="13">
        <v>6</v>
      </c>
      <c r="B31" s="13" t="s">
        <v>40</v>
      </c>
      <c r="C31" s="13" t="s">
        <v>265</v>
      </c>
      <c r="D31" s="13">
        <v>273713</v>
      </c>
      <c r="E31" s="13" t="s">
        <v>17</v>
      </c>
      <c r="F31" s="13" t="s">
        <v>266</v>
      </c>
      <c r="G31" s="13" t="s">
        <v>19</v>
      </c>
      <c r="H31" s="13" t="s">
        <v>20</v>
      </c>
      <c r="I31" s="14">
        <v>45717</v>
      </c>
      <c r="J31" s="14">
        <v>45722</v>
      </c>
      <c r="K31" s="15">
        <v>8300</v>
      </c>
      <c r="L31" s="53"/>
      <c r="M31" s="13"/>
    </row>
    <row r="32" spans="1:13" x14ac:dyDescent="0.25">
      <c r="A32" s="13">
        <v>7</v>
      </c>
      <c r="B32" s="13" t="s">
        <v>40</v>
      </c>
      <c r="C32" s="13" t="s">
        <v>287</v>
      </c>
      <c r="D32" s="13">
        <v>273978</v>
      </c>
      <c r="E32" s="13" t="s">
        <v>17</v>
      </c>
      <c r="F32" s="13" t="s">
        <v>288</v>
      </c>
      <c r="G32" s="13" t="s">
        <v>19</v>
      </c>
      <c r="H32" s="13" t="s">
        <v>20</v>
      </c>
      <c r="I32" s="14">
        <v>45315</v>
      </c>
      <c r="J32" s="14">
        <v>45724</v>
      </c>
      <c r="K32" s="15">
        <v>23000</v>
      </c>
      <c r="L32" s="53"/>
      <c r="M32" s="13"/>
    </row>
    <row r="33" spans="1:13" x14ac:dyDescent="0.25">
      <c r="A33" s="13">
        <v>8</v>
      </c>
      <c r="B33" s="18" t="s">
        <v>16</v>
      </c>
      <c r="C33" s="18" t="s">
        <v>331</v>
      </c>
      <c r="D33" s="18">
        <v>274810</v>
      </c>
      <c r="E33" s="18" t="s">
        <v>36</v>
      </c>
      <c r="F33" s="18" t="s">
        <v>332</v>
      </c>
      <c r="G33" s="18" t="s">
        <v>24</v>
      </c>
      <c r="H33" s="18" t="s">
        <v>20</v>
      </c>
      <c r="I33" s="19">
        <v>45729</v>
      </c>
      <c r="J33" s="19">
        <v>45730</v>
      </c>
      <c r="K33" s="20">
        <v>30000</v>
      </c>
      <c r="L33" s="52" t="s">
        <v>220</v>
      </c>
      <c r="M33" s="18"/>
    </row>
    <row r="34" spans="1:13" x14ac:dyDescent="0.25">
      <c r="A34" s="13">
        <v>9</v>
      </c>
      <c r="B34" s="18" t="s">
        <v>16</v>
      </c>
      <c r="C34" s="18" t="s">
        <v>333</v>
      </c>
      <c r="D34" s="18">
        <v>275027</v>
      </c>
      <c r="E34" s="18" t="s">
        <v>17</v>
      </c>
      <c r="F34" s="18" t="s">
        <v>334</v>
      </c>
      <c r="G34" s="18" t="s">
        <v>19</v>
      </c>
      <c r="H34" s="18" t="s">
        <v>20</v>
      </c>
      <c r="I34" s="19">
        <v>45732</v>
      </c>
      <c r="J34" s="19">
        <v>45733</v>
      </c>
      <c r="K34" s="20">
        <v>28500</v>
      </c>
      <c r="L34" s="52"/>
      <c r="M34" s="18"/>
    </row>
    <row r="35" spans="1:13" x14ac:dyDescent="0.25">
      <c r="A35" s="13">
        <v>10</v>
      </c>
      <c r="B35" s="18" t="s">
        <v>31</v>
      </c>
      <c r="C35" s="18" t="s">
        <v>335</v>
      </c>
      <c r="D35" s="18">
        <v>275091</v>
      </c>
      <c r="E35" s="18" t="s">
        <v>36</v>
      </c>
      <c r="F35" s="18" t="s">
        <v>332</v>
      </c>
      <c r="G35" s="18" t="s">
        <v>19</v>
      </c>
      <c r="H35" s="18" t="s">
        <v>20</v>
      </c>
      <c r="I35" s="19">
        <v>45732</v>
      </c>
      <c r="J35" s="19">
        <v>45733</v>
      </c>
      <c r="K35" s="20">
        <v>25000</v>
      </c>
      <c r="L35" s="52"/>
      <c r="M35" s="18"/>
    </row>
    <row r="36" spans="1:13" x14ac:dyDescent="0.25">
      <c r="A36" s="13">
        <v>11</v>
      </c>
      <c r="B36" s="13" t="s">
        <v>31</v>
      </c>
      <c r="C36" s="13" t="s">
        <v>336</v>
      </c>
      <c r="D36" s="13">
        <v>275184</v>
      </c>
      <c r="E36" s="13" t="s">
        <v>36</v>
      </c>
      <c r="F36" s="13" t="s">
        <v>337</v>
      </c>
      <c r="G36" s="13" t="s">
        <v>24</v>
      </c>
      <c r="H36" s="13" t="s">
        <v>20</v>
      </c>
      <c r="I36" s="14">
        <v>45733</v>
      </c>
      <c r="J36" s="14" t="s">
        <v>338</v>
      </c>
      <c r="K36" s="15">
        <v>38000</v>
      </c>
      <c r="L36" s="53"/>
      <c r="M36" s="13"/>
    </row>
    <row r="37" spans="1:13" x14ac:dyDescent="0.25">
      <c r="A37" s="13">
        <v>12</v>
      </c>
      <c r="B37" s="18" t="s">
        <v>40</v>
      </c>
      <c r="C37" s="18" t="s">
        <v>343</v>
      </c>
      <c r="D37" s="18">
        <v>275633</v>
      </c>
      <c r="E37" s="18" t="s">
        <v>344</v>
      </c>
      <c r="F37" s="18" t="s">
        <v>345</v>
      </c>
      <c r="G37" s="18" t="s">
        <v>19</v>
      </c>
      <c r="H37" s="18" t="s">
        <v>25</v>
      </c>
      <c r="I37" s="19">
        <v>45735</v>
      </c>
      <c r="J37" s="19">
        <v>45735</v>
      </c>
      <c r="K37" s="20">
        <v>100</v>
      </c>
      <c r="L37" s="52"/>
      <c r="M37" s="18"/>
    </row>
    <row r="38" spans="1:13" x14ac:dyDescent="0.25">
      <c r="A38" s="13">
        <v>13</v>
      </c>
      <c r="B38" s="18" t="s">
        <v>40</v>
      </c>
      <c r="C38" s="18" t="s">
        <v>346</v>
      </c>
      <c r="D38" s="18">
        <v>276012</v>
      </c>
      <c r="E38" s="18" t="s">
        <v>33</v>
      </c>
      <c r="F38" s="18" t="s">
        <v>347</v>
      </c>
      <c r="G38" s="18" t="s">
        <v>19</v>
      </c>
      <c r="H38" s="18" t="s">
        <v>20</v>
      </c>
      <c r="I38" s="19">
        <v>45717</v>
      </c>
      <c r="J38" s="19">
        <v>45738</v>
      </c>
      <c r="K38" s="20">
        <v>32000</v>
      </c>
      <c r="L38" s="52"/>
      <c r="M38" s="18"/>
    </row>
    <row r="39" spans="1:13" x14ac:dyDescent="0.25">
      <c r="A39" s="13">
        <v>14</v>
      </c>
      <c r="B39" s="18" t="s">
        <v>16</v>
      </c>
      <c r="C39" s="18" t="s">
        <v>348</v>
      </c>
      <c r="D39" s="18">
        <v>276138</v>
      </c>
      <c r="E39" s="18" t="s">
        <v>36</v>
      </c>
      <c r="F39" s="18" t="s">
        <v>349</v>
      </c>
      <c r="G39" s="18" t="s">
        <v>19</v>
      </c>
      <c r="H39" s="18" t="s">
        <v>20</v>
      </c>
      <c r="I39" s="19">
        <v>45736</v>
      </c>
      <c r="J39" s="19">
        <v>45740</v>
      </c>
      <c r="K39" s="20">
        <v>85000</v>
      </c>
      <c r="L39" s="52" t="s">
        <v>220</v>
      </c>
      <c r="M39" s="18"/>
    </row>
    <row r="40" spans="1:13" x14ac:dyDescent="0.25">
      <c r="A40" s="13">
        <v>15</v>
      </c>
      <c r="B40" s="18" t="s">
        <v>16</v>
      </c>
      <c r="C40" s="18" t="s">
        <v>350</v>
      </c>
      <c r="D40" s="18">
        <v>276094</v>
      </c>
      <c r="E40" s="18" t="s">
        <v>36</v>
      </c>
      <c r="F40" s="18" t="s">
        <v>351</v>
      </c>
      <c r="G40" s="18" t="s">
        <v>19</v>
      </c>
      <c r="H40" s="18" t="s">
        <v>20</v>
      </c>
      <c r="I40" s="19">
        <v>45737</v>
      </c>
      <c r="J40" s="19">
        <v>45740</v>
      </c>
      <c r="K40" s="20">
        <v>46000</v>
      </c>
      <c r="L40" s="52" t="s">
        <v>352</v>
      </c>
      <c r="M40" s="18"/>
    </row>
    <row r="41" spans="1:13" x14ac:dyDescent="0.25">
      <c r="A41" s="13">
        <v>16</v>
      </c>
      <c r="B41" s="18" t="s">
        <v>122</v>
      </c>
      <c r="C41" s="18" t="s">
        <v>353</v>
      </c>
      <c r="D41" s="18">
        <v>276630</v>
      </c>
      <c r="E41" s="18" t="s">
        <v>360</v>
      </c>
      <c r="F41" s="18" t="s">
        <v>355</v>
      </c>
      <c r="G41" s="18" t="s">
        <v>24</v>
      </c>
      <c r="H41" s="18" t="s">
        <v>25</v>
      </c>
      <c r="I41" s="19">
        <v>45712</v>
      </c>
      <c r="J41" s="19">
        <v>45744</v>
      </c>
      <c r="K41" s="20">
        <v>5000</v>
      </c>
      <c r="L41" s="52" t="s">
        <v>356</v>
      </c>
      <c r="M41" s="18"/>
    </row>
    <row r="42" spans="1:13" x14ac:dyDescent="0.25">
      <c r="A42" s="18">
        <v>17</v>
      </c>
      <c r="B42" s="18" t="s">
        <v>122</v>
      </c>
      <c r="C42" s="18" t="s">
        <v>354</v>
      </c>
      <c r="D42" s="18">
        <v>276743</v>
      </c>
      <c r="E42" s="18" t="s">
        <v>361</v>
      </c>
      <c r="F42" s="18" t="s">
        <v>355</v>
      </c>
      <c r="G42" s="18" t="s">
        <v>24</v>
      </c>
      <c r="H42" s="18" t="s">
        <v>25</v>
      </c>
      <c r="I42" s="19">
        <v>45712</v>
      </c>
      <c r="J42" s="19">
        <v>45744</v>
      </c>
      <c r="K42" s="20">
        <v>6600</v>
      </c>
      <c r="L42" s="52" t="s">
        <v>356</v>
      </c>
      <c r="M42" s="18"/>
    </row>
    <row r="43" spans="1:13" x14ac:dyDescent="0.25">
      <c r="A43" s="18">
        <v>18</v>
      </c>
      <c r="B43" s="18" t="s">
        <v>16</v>
      </c>
      <c r="C43" s="18" t="s">
        <v>357</v>
      </c>
      <c r="D43" s="18">
        <v>276262</v>
      </c>
      <c r="E43" s="18" t="s">
        <v>17</v>
      </c>
      <c r="F43" s="18" t="s">
        <v>362</v>
      </c>
      <c r="G43" s="18" t="s">
        <v>24</v>
      </c>
      <c r="H43" s="18" t="s">
        <v>20</v>
      </c>
      <c r="I43" s="19">
        <v>45737</v>
      </c>
      <c r="J43" s="19">
        <v>45743</v>
      </c>
      <c r="K43" s="20">
        <v>22500</v>
      </c>
      <c r="L43" s="52"/>
      <c r="M43" s="18"/>
    </row>
    <row r="44" spans="1:13" x14ac:dyDescent="0.25">
      <c r="A44" s="18">
        <v>19</v>
      </c>
      <c r="B44" s="18" t="s">
        <v>31</v>
      </c>
      <c r="C44" s="18" t="s">
        <v>358</v>
      </c>
      <c r="D44" s="18">
        <v>276706</v>
      </c>
      <c r="E44" s="18" t="s">
        <v>17</v>
      </c>
      <c r="F44" s="18" t="s">
        <v>370</v>
      </c>
      <c r="G44" s="18" t="s">
        <v>24</v>
      </c>
      <c r="H44" s="18" t="s">
        <v>20</v>
      </c>
      <c r="I44" s="19">
        <v>45741</v>
      </c>
      <c r="J44" s="19">
        <v>45743</v>
      </c>
      <c r="K44" s="20">
        <v>21500</v>
      </c>
      <c r="L44" s="52"/>
      <c r="M44" s="18"/>
    </row>
    <row r="45" spans="1:13" x14ac:dyDescent="0.25">
      <c r="A45" s="18">
        <v>20</v>
      </c>
      <c r="B45" s="18" t="s">
        <v>31</v>
      </c>
      <c r="C45" s="18" t="s">
        <v>363</v>
      </c>
      <c r="D45" s="18">
        <v>276901</v>
      </c>
      <c r="E45" s="18" t="s">
        <v>36</v>
      </c>
      <c r="F45" s="18" t="s">
        <v>364</v>
      </c>
      <c r="G45" s="18" t="s">
        <v>19</v>
      </c>
      <c r="H45" s="18" t="s">
        <v>20</v>
      </c>
      <c r="I45" s="19">
        <v>45742</v>
      </c>
      <c r="J45" s="19">
        <v>45744</v>
      </c>
      <c r="K45" s="20">
        <v>55000</v>
      </c>
      <c r="L45" s="52"/>
      <c r="M45" s="18"/>
    </row>
    <row r="46" spans="1:13" ht="15.75" thickBot="1" x14ac:dyDescent="0.3">
      <c r="A46" s="18">
        <v>21</v>
      </c>
      <c r="B46" s="18" t="s">
        <v>16</v>
      </c>
      <c r="C46" s="18" t="s">
        <v>365</v>
      </c>
      <c r="D46" s="18">
        <v>276995</v>
      </c>
      <c r="E46" s="18" t="s">
        <v>17</v>
      </c>
      <c r="F46" s="18" t="s">
        <v>366</v>
      </c>
      <c r="G46" s="18" t="s">
        <v>24</v>
      </c>
      <c r="H46" s="18" t="s">
        <v>20</v>
      </c>
      <c r="I46" s="19">
        <v>45742</v>
      </c>
      <c r="J46" s="19">
        <v>45744</v>
      </c>
      <c r="K46" s="20">
        <v>23000</v>
      </c>
      <c r="L46" s="52"/>
      <c r="M46" s="18"/>
    </row>
    <row r="47" spans="1:13" ht="15.75" thickBot="1" x14ac:dyDescent="0.3">
      <c r="A47" s="185" t="s">
        <v>71</v>
      </c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7"/>
    </row>
    <row r="48" spans="1:13" x14ac:dyDescent="0.25">
      <c r="A48" s="13">
        <v>1</v>
      </c>
      <c r="B48" s="13" t="s">
        <v>31</v>
      </c>
      <c r="C48" s="18" t="s">
        <v>372</v>
      </c>
      <c r="D48" s="13">
        <v>278878</v>
      </c>
      <c r="E48" s="13" t="s">
        <v>114</v>
      </c>
      <c r="F48" s="13" t="s">
        <v>373</v>
      </c>
      <c r="G48" s="13" t="s">
        <v>19</v>
      </c>
      <c r="H48" s="13" t="s">
        <v>25</v>
      </c>
      <c r="I48" s="14">
        <v>45757</v>
      </c>
      <c r="J48" s="14">
        <v>45757</v>
      </c>
      <c r="K48" s="15">
        <v>150</v>
      </c>
      <c r="L48" s="82"/>
      <c r="M48" s="15"/>
    </row>
    <row r="49" spans="1:13" x14ac:dyDescent="0.25">
      <c r="A49" s="13">
        <v>2</v>
      </c>
      <c r="B49" s="13" t="s">
        <v>16</v>
      </c>
      <c r="C49" s="13" t="s">
        <v>374</v>
      </c>
      <c r="D49" s="13">
        <v>278854</v>
      </c>
      <c r="E49" s="13" t="s">
        <v>17</v>
      </c>
      <c r="F49" s="13" t="s">
        <v>108</v>
      </c>
      <c r="G49" s="13" t="s">
        <v>24</v>
      </c>
      <c r="H49" s="13" t="s">
        <v>20</v>
      </c>
      <c r="I49" s="14">
        <v>45752</v>
      </c>
      <c r="J49" s="14">
        <v>45761</v>
      </c>
      <c r="K49" s="15">
        <v>14000</v>
      </c>
      <c r="L49" s="82"/>
      <c r="M49" s="13"/>
    </row>
    <row r="50" spans="1:13" x14ac:dyDescent="0.25">
      <c r="A50" s="13">
        <v>3</v>
      </c>
      <c r="B50" s="13" t="s">
        <v>16</v>
      </c>
      <c r="C50" s="13" t="s">
        <v>375</v>
      </c>
      <c r="D50" s="13">
        <v>279565</v>
      </c>
      <c r="E50" s="13" t="s">
        <v>33</v>
      </c>
      <c r="F50" s="13" t="s">
        <v>376</v>
      </c>
      <c r="G50" s="13" t="s">
        <v>19</v>
      </c>
      <c r="H50" s="13" t="s">
        <v>20</v>
      </c>
      <c r="I50" s="14">
        <v>45759</v>
      </c>
      <c r="J50" s="14">
        <v>45768</v>
      </c>
      <c r="K50" s="15">
        <v>43000</v>
      </c>
      <c r="L50" s="53" t="s">
        <v>377</v>
      </c>
      <c r="M50" s="13"/>
    </row>
    <row r="51" spans="1:13" x14ac:dyDescent="0.25">
      <c r="A51" s="13">
        <v>4</v>
      </c>
      <c r="B51" s="13" t="s">
        <v>378</v>
      </c>
      <c r="C51" s="13" t="s">
        <v>379</v>
      </c>
      <c r="D51" s="13">
        <v>279743</v>
      </c>
      <c r="E51" s="13" t="s">
        <v>17</v>
      </c>
      <c r="F51" s="13" t="s">
        <v>67</v>
      </c>
      <c r="G51" s="13" t="s">
        <v>24</v>
      </c>
      <c r="H51" s="13" t="s">
        <v>20</v>
      </c>
      <c r="I51" s="14">
        <v>45763</v>
      </c>
      <c r="J51" s="14">
        <v>45768</v>
      </c>
      <c r="K51" s="15">
        <v>16000</v>
      </c>
      <c r="L51" s="53" t="s">
        <v>199</v>
      </c>
      <c r="M51" s="13"/>
    </row>
    <row r="52" spans="1:13" x14ac:dyDescent="0.25">
      <c r="A52" s="13">
        <v>5</v>
      </c>
      <c r="B52" s="13" t="s">
        <v>380</v>
      </c>
      <c r="C52" s="13" t="s">
        <v>381</v>
      </c>
      <c r="D52" s="13">
        <v>279976</v>
      </c>
      <c r="E52" s="13" t="s">
        <v>36</v>
      </c>
      <c r="F52" s="13" t="s">
        <v>382</v>
      </c>
      <c r="G52" s="13" t="s">
        <v>24</v>
      </c>
      <c r="H52" s="13" t="s">
        <v>20</v>
      </c>
      <c r="I52" s="14">
        <v>45769</v>
      </c>
      <c r="J52" s="14">
        <v>45770</v>
      </c>
      <c r="K52" s="15">
        <v>33000</v>
      </c>
      <c r="L52" s="53"/>
      <c r="M52" s="13"/>
    </row>
    <row r="53" spans="1:13" x14ac:dyDescent="0.25">
      <c r="A53" s="13">
        <v>6</v>
      </c>
      <c r="B53" s="13" t="s">
        <v>16</v>
      </c>
      <c r="C53" s="13" t="s">
        <v>383</v>
      </c>
      <c r="D53" s="13">
        <v>280218</v>
      </c>
      <c r="E53" s="13" t="s">
        <v>36</v>
      </c>
      <c r="F53" s="13" t="s">
        <v>384</v>
      </c>
      <c r="G53" s="13" t="s">
        <v>19</v>
      </c>
      <c r="H53" s="13" t="s">
        <v>20</v>
      </c>
      <c r="I53" s="14">
        <v>45770</v>
      </c>
      <c r="J53" s="14">
        <v>45771</v>
      </c>
      <c r="K53" s="15">
        <v>25000</v>
      </c>
      <c r="L53" s="53"/>
      <c r="M53" s="13"/>
    </row>
    <row r="54" spans="1:13" x14ac:dyDescent="0.25">
      <c r="A54" s="13">
        <v>7</v>
      </c>
      <c r="B54" s="13" t="s">
        <v>380</v>
      </c>
      <c r="C54" s="13" t="s">
        <v>385</v>
      </c>
      <c r="D54" s="13">
        <v>280237</v>
      </c>
      <c r="E54" s="13" t="s">
        <v>36</v>
      </c>
      <c r="F54" s="13" t="s">
        <v>386</v>
      </c>
      <c r="G54" s="13" t="s">
        <v>24</v>
      </c>
      <c r="H54" s="13" t="s">
        <v>20</v>
      </c>
      <c r="I54" s="14">
        <v>45770</v>
      </c>
      <c r="J54" s="14">
        <v>45771</v>
      </c>
      <c r="K54" s="15">
        <v>59500</v>
      </c>
      <c r="L54" s="53"/>
      <c r="M54" s="13"/>
    </row>
    <row r="55" spans="1:13" x14ac:dyDescent="0.25">
      <c r="A55" s="13">
        <v>8</v>
      </c>
      <c r="B55" s="18" t="s">
        <v>387</v>
      </c>
      <c r="C55" s="18" t="s">
        <v>388</v>
      </c>
      <c r="D55" s="18">
        <v>280284</v>
      </c>
      <c r="E55" s="18" t="s">
        <v>17</v>
      </c>
      <c r="F55" s="85" t="s">
        <v>389</v>
      </c>
      <c r="G55" s="18" t="s">
        <v>19</v>
      </c>
      <c r="H55" s="18" t="s">
        <v>20</v>
      </c>
      <c r="I55" s="19">
        <v>45769</v>
      </c>
      <c r="J55" s="19">
        <v>45771</v>
      </c>
      <c r="K55" s="20">
        <v>18000</v>
      </c>
      <c r="L55" s="52"/>
      <c r="M55" s="18"/>
    </row>
    <row r="56" spans="1:13" x14ac:dyDescent="0.25">
      <c r="A56" s="13">
        <v>9</v>
      </c>
      <c r="B56" s="18" t="s">
        <v>378</v>
      </c>
      <c r="C56" s="18" t="s">
        <v>390</v>
      </c>
      <c r="D56" s="18">
        <v>280311</v>
      </c>
      <c r="E56" s="18" t="s">
        <v>36</v>
      </c>
      <c r="F56" s="18" t="s">
        <v>391</v>
      </c>
      <c r="G56" s="18" t="s">
        <v>24</v>
      </c>
      <c r="H56" s="18" t="s">
        <v>20</v>
      </c>
      <c r="I56" s="19">
        <v>45770</v>
      </c>
      <c r="J56" s="19">
        <v>45771</v>
      </c>
      <c r="K56" s="20">
        <v>60000</v>
      </c>
      <c r="L56" s="52"/>
      <c r="M56" s="18"/>
    </row>
    <row r="57" spans="1:13" x14ac:dyDescent="0.25">
      <c r="A57" s="13">
        <v>10</v>
      </c>
      <c r="B57" s="18" t="s">
        <v>387</v>
      </c>
      <c r="C57" s="18" t="s">
        <v>392</v>
      </c>
      <c r="D57" s="18">
        <v>280338</v>
      </c>
      <c r="E57" s="18" t="s">
        <v>17</v>
      </c>
      <c r="F57" s="18" t="s">
        <v>393</v>
      </c>
      <c r="G57" s="18" t="s">
        <v>19</v>
      </c>
      <c r="H57" s="18" t="s">
        <v>20</v>
      </c>
      <c r="I57" s="19">
        <v>45769</v>
      </c>
      <c r="J57" s="19">
        <v>45771</v>
      </c>
      <c r="K57" s="20">
        <v>18000</v>
      </c>
      <c r="L57" s="52"/>
      <c r="M57" s="18"/>
    </row>
    <row r="58" spans="1:13" x14ac:dyDescent="0.25">
      <c r="A58" s="13">
        <v>11</v>
      </c>
      <c r="B58" s="13" t="s">
        <v>380</v>
      </c>
      <c r="C58" s="13" t="s">
        <v>394</v>
      </c>
      <c r="D58" s="13">
        <v>280687</v>
      </c>
      <c r="E58" s="13" t="s">
        <v>42</v>
      </c>
      <c r="F58" s="13" t="s">
        <v>395</v>
      </c>
      <c r="G58" s="13" t="s">
        <v>19</v>
      </c>
      <c r="H58" s="13" t="s">
        <v>20</v>
      </c>
      <c r="I58" s="14">
        <v>45775</v>
      </c>
      <c r="J58" s="14">
        <v>45775</v>
      </c>
      <c r="K58" s="15">
        <v>15500</v>
      </c>
      <c r="L58" s="53"/>
      <c r="M58" s="13"/>
    </row>
    <row r="59" spans="1:13" x14ac:dyDescent="0.25">
      <c r="A59" s="13">
        <v>12</v>
      </c>
      <c r="B59" s="18" t="s">
        <v>380</v>
      </c>
      <c r="C59" s="18" t="s">
        <v>396</v>
      </c>
      <c r="D59" s="18">
        <v>280854</v>
      </c>
      <c r="E59" s="18" t="s">
        <v>36</v>
      </c>
      <c r="F59" s="18" t="s">
        <v>382</v>
      </c>
      <c r="G59" s="18" t="s">
        <v>24</v>
      </c>
      <c r="H59" s="18" t="s">
        <v>20</v>
      </c>
      <c r="I59" s="19">
        <v>45775</v>
      </c>
      <c r="J59" s="19">
        <v>45776</v>
      </c>
      <c r="K59" s="20">
        <v>40000</v>
      </c>
      <c r="L59" s="52"/>
      <c r="M59" s="18"/>
    </row>
    <row r="60" spans="1:13" x14ac:dyDescent="0.25">
      <c r="A60" s="13">
        <v>13</v>
      </c>
      <c r="B60" s="18" t="s">
        <v>16</v>
      </c>
      <c r="C60" s="18" t="s">
        <v>397</v>
      </c>
      <c r="D60" s="18">
        <v>280802</v>
      </c>
      <c r="E60" s="18" t="s">
        <v>398</v>
      </c>
      <c r="F60" s="18" t="s">
        <v>399</v>
      </c>
      <c r="G60" s="18" t="s">
        <v>19</v>
      </c>
      <c r="H60" s="18" t="s">
        <v>20</v>
      </c>
      <c r="I60" s="19">
        <v>45772</v>
      </c>
      <c r="J60" s="19">
        <v>45776</v>
      </c>
      <c r="K60" s="20">
        <v>86000</v>
      </c>
      <c r="L60" s="52" t="s">
        <v>400</v>
      </c>
      <c r="M60" s="18"/>
    </row>
    <row r="61" spans="1:13" x14ac:dyDescent="0.25">
      <c r="A61" s="13">
        <v>14</v>
      </c>
      <c r="B61" s="18" t="s">
        <v>40</v>
      </c>
      <c r="C61" s="18" t="s">
        <v>401</v>
      </c>
      <c r="D61" s="18">
        <v>280964</v>
      </c>
      <c r="E61" s="18" t="s">
        <v>33</v>
      </c>
      <c r="F61" s="18" t="s">
        <v>402</v>
      </c>
      <c r="G61" s="18" t="s">
        <v>24</v>
      </c>
      <c r="H61" s="18" t="s">
        <v>20</v>
      </c>
      <c r="I61" s="19">
        <v>45772</v>
      </c>
      <c r="J61" s="19">
        <v>45776</v>
      </c>
      <c r="K61" s="20">
        <v>45000</v>
      </c>
      <c r="L61" s="52"/>
      <c r="M61" s="18"/>
    </row>
    <row r="62" spans="1:13" ht="15.75" thickBot="1" x14ac:dyDescent="0.3">
      <c r="A62" s="13">
        <v>15</v>
      </c>
      <c r="B62" s="18" t="s">
        <v>31</v>
      </c>
      <c r="C62" s="18" t="s">
        <v>403</v>
      </c>
      <c r="D62" s="18">
        <v>280994</v>
      </c>
      <c r="E62" s="18" t="s">
        <v>93</v>
      </c>
      <c r="F62" s="18" t="s">
        <v>404</v>
      </c>
      <c r="G62" s="18" t="s">
        <v>24</v>
      </c>
      <c r="H62" s="18" t="s">
        <v>20</v>
      </c>
      <c r="I62" s="19">
        <v>45776</v>
      </c>
      <c r="J62" s="19">
        <v>45776</v>
      </c>
      <c r="K62" s="20">
        <v>25000</v>
      </c>
      <c r="L62" s="52"/>
      <c r="M62" s="18"/>
    </row>
    <row r="63" spans="1:13" ht="15.75" thickBot="1" x14ac:dyDescent="0.3">
      <c r="A63" s="185" t="s">
        <v>87</v>
      </c>
      <c r="B63" s="186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7"/>
    </row>
    <row r="64" spans="1:13" x14ac:dyDescent="0.25">
      <c r="A64" s="13">
        <v>1</v>
      </c>
      <c r="B64" s="13" t="s">
        <v>380</v>
      </c>
      <c r="C64" s="18" t="s">
        <v>405</v>
      </c>
      <c r="D64" s="13">
        <v>281742</v>
      </c>
      <c r="E64" s="13" t="s">
        <v>17</v>
      </c>
      <c r="F64" s="13" t="s">
        <v>406</v>
      </c>
      <c r="G64" s="13" t="s">
        <v>24</v>
      </c>
      <c r="H64" s="13" t="s">
        <v>20</v>
      </c>
      <c r="I64" s="14">
        <v>45779</v>
      </c>
      <c r="J64" s="14">
        <v>45782</v>
      </c>
      <c r="K64" s="15">
        <v>22000</v>
      </c>
      <c r="L64" s="82"/>
      <c r="M64" s="15"/>
    </row>
    <row r="65" spans="1:13" x14ac:dyDescent="0.25">
      <c r="A65" s="18">
        <v>2</v>
      </c>
      <c r="B65" s="18" t="s">
        <v>16</v>
      </c>
      <c r="C65" s="18" t="s">
        <v>410</v>
      </c>
      <c r="D65" s="18">
        <v>281774</v>
      </c>
      <c r="E65" s="18" t="s">
        <v>33</v>
      </c>
      <c r="F65" s="18" t="s">
        <v>253</v>
      </c>
      <c r="G65" s="18" t="s">
        <v>24</v>
      </c>
      <c r="H65" s="18" t="s">
        <v>20</v>
      </c>
      <c r="I65" s="19">
        <v>45781</v>
      </c>
      <c r="J65" s="19">
        <v>45784</v>
      </c>
      <c r="K65" s="20">
        <v>75000</v>
      </c>
      <c r="L65" s="157" t="s">
        <v>411</v>
      </c>
      <c r="M65" s="18"/>
    </row>
    <row r="66" spans="1:13" x14ac:dyDescent="0.25">
      <c r="A66" s="18">
        <v>3</v>
      </c>
      <c r="B66" s="18" t="s">
        <v>387</v>
      </c>
      <c r="C66" s="18" t="s">
        <v>412</v>
      </c>
      <c r="D66" s="18">
        <v>282563</v>
      </c>
      <c r="E66" s="18" t="s">
        <v>33</v>
      </c>
      <c r="F66" s="18" t="s">
        <v>413</v>
      </c>
      <c r="G66" s="18" t="s">
        <v>19</v>
      </c>
      <c r="H66" s="18" t="s">
        <v>20</v>
      </c>
      <c r="I66" s="19">
        <v>45786</v>
      </c>
      <c r="J66" s="19">
        <v>45790</v>
      </c>
      <c r="K66" s="20">
        <v>20000</v>
      </c>
      <c r="L66" s="52" t="s">
        <v>414</v>
      </c>
      <c r="M66" s="18"/>
    </row>
    <row r="67" spans="1:13" x14ac:dyDescent="0.25">
      <c r="A67" s="18">
        <v>4</v>
      </c>
      <c r="B67" s="18" t="s">
        <v>380</v>
      </c>
      <c r="C67" s="18" t="s">
        <v>415</v>
      </c>
      <c r="D67" s="18">
        <v>282713</v>
      </c>
      <c r="E67" s="18" t="s">
        <v>416</v>
      </c>
      <c r="F67" s="18" t="s">
        <v>426</v>
      </c>
      <c r="G67" s="18" t="s">
        <v>24</v>
      </c>
      <c r="H67" s="18" t="s">
        <v>20</v>
      </c>
      <c r="I67" s="19">
        <v>45789</v>
      </c>
      <c r="J67" s="19">
        <v>45790</v>
      </c>
      <c r="K67" s="20">
        <v>35000</v>
      </c>
      <c r="L67" s="52"/>
      <c r="M67" s="18"/>
    </row>
    <row r="68" spans="1:13" x14ac:dyDescent="0.25">
      <c r="A68" s="18">
        <v>5</v>
      </c>
      <c r="B68" s="18" t="s">
        <v>380</v>
      </c>
      <c r="C68" s="18" t="s">
        <v>418</v>
      </c>
      <c r="D68" s="18">
        <v>282937</v>
      </c>
      <c r="E68" s="18" t="s">
        <v>17</v>
      </c>
      <c r="F68" s="18" t="s">
        <v>406</v>
      </c>
      <c r="G68" s="18" t="s">
        <v>24</v>
      </c>
      <c r="H68" s="18" t="s">
        <v>20</v>
      </c>
      <c r="I68" s="19">
        <v>45789</v>
      </c>
      <c r="J68" s="19">
        <v>45792</v>
      </c>
      <c r="K68" s="20">
        <v>15000</v>
      </c>
      <c r="L68" s="52" t="s">
        <v>419</v>
      </c>
      <c r="M68" s="18"/>
    </row>
    <row r="69" spans="1:13" x14ac:dyDescent="0.25">
      <c r="A69" s="18">
        <v>6</v>
      </c>
      <c r="B69" s="18" t="s">
        <v>16</v>
      </c>
      <c r="C69" s="18" t="s">
        <v>420</v>
      </c>
      <c r="D69" s="18">
        <v>281171</v>
      </c>
      <c r="E69" s="18" t="s">
        <v>17</v>
      </c>
      <c r="F69" s="18" t="s">
        <v>188</v>
      </c>
      <c r="G69" s="18" t="s">
        <v>19</v>
      </c>
      <c r="H69" s="18" t="s">
        <v>20</v>
      </c>
      <c r="I69" s="19">
        <v>45791</v>
      </c>
      <c r="J69" s="19">
        <v>45792</v>
      </c>
      <c r="K69" s="20">
        <v>20000</v>
      </c>
      <c r="L69" s="52" t="s">
        <v>421</v>
      </c>
      <c r="M69" s="18"/>
    </row>
    <row r="70" spans="1:13" x14ac:dyDescent="0.25">
      <c r="A70" s="18">
        <v>7</v>
      </c>
      <c r="B70" s="18" t="s">
        <v>16</v>
      </c>
      <c r="C70" s="18" t="s">
        <v>422</v>
      </c>
      <c r="D70" s="18">
        <v>283201</v>
      </c>
      <c r="E70" s="18" t="s">
        <v>36</v>
      </c>
      <c r="F70" s="18" t="s">
        <v>423</v>
      </c>
      <c r="G70" s="18" t="s">
        <v>24</v>
      </c>
      <c r="H70" s="18" t="s">
        <v>20</v>
      </c>
      <c r="I70" s="19">
        <v>45793</v>
      </c>
      <c r="J70" s="19">
        <v>45796</v>
      </c>
      <c r="K70" s="20">
        <v>22000</v>
      </c>
      <c r="L70" s="52" t="s">
        <v>254</v>
      </c>
      <c r="M70" s="18"/>
    </row>
    <row r="71" spans="1:13" x14ac:dyDescent="0.25">
      <c r="A71" s="18">
        <v>8</v>
      </c>
      <c r="B71" s="18" t="s">
        <v>16</v>
      </c>
      <c r="C71" s="18" t="s">
        <v>425</v>
      </c>
      <c r="D71" s="18">
        <v>283353</v>
      </c>
      <c r="E71" s="18" t="s">
        <v>17</v>
      </c>
      <c r="F71" s="18" t="s">
        <v>424</v>
      </c>
      <c r="G71" s="18" t="s">
        <v>24</v>
      </c>
      <c r="H71" s="18" t="s">
        <v>20</v>
      </c>
      <c r="I71" s="19">
        <v>45795</v>
      </c>
      <c r="J71" s="19">
        <v>45796</v>
      </c>
      <c r="K71" s="20">
        <v>22000</v>
      </c>
      <c r="L71" s="52"/>
      <c r="M71" s="18"/>
    </row>
    <row r="72" spans="1:13" x14ac:dyDescent="0.25">
      <c r="A72" s="18">
        <v>9</v>
      </c>
      <c r="B72" s="18" t="s">
        <v>122</v>
      </c>
      <c r="C72" s="18" t="s">
        <v>427</v>
      </c>
      <c r="D72" s="18">
        <v>284488</v>
      </c>
      <c r="E72" s="18" t="s">
        <v>93</v>
      </c>
      <c r="F72" s="18" t="s">
        <v>104</v>
      </c>
      <c r="G72" s="18" t="s">
        <v>19</v>
      </c>
      <c r="H72" s="18" t="s">
        <v>25</v>
      </c>
      <c r="I72" s="19">
        <v>45804</v>
      </c>
      <c r="J72" s="19">
        <v>45804</v>
      </c>
      <c r="K72" s="20">
        <v>500</v>
      </c>
      <c r="L72" s="52"/>
      <c r="M72" s="18"/>
    </row>
    <row r="73" spans="1:13" x14ac:dyDescent="0.25">
      <c r="A73" s="18">
        <v>10</v>
      </c>
      <c r="B73" s="18" t="s">
        <v>122</v>
      </c>
      <c r="C73" s="18" t="s">
        <v>428</v>
      </c>
      <c r="D73" s="18">
        <v>283735</v>
      </c>
      <c r="E73" s="18" t="s">
        <v>17</v>
      </c>
      <c r="F73" s="18" t="s">
        <v>429</v>
      </c>
      <c r="G73" s="18" t="s">
        <v>19</v>
      </c>
      <c r="H73" s="18" t="s">
        <v>20</v>
      </c>
      <c r="I73" s="19">
        <v>45789</v>
      </c>
      <c r="J73" s="19">
        <v>45807</v>
      </c>
      <c r="K73" s="20">
        <v>35000</v>
      </c>
      <c r="L73" s="52" t="s">
        <v>454</v>
      </c>
      <c r="M73" s="18"/>
    </row>
    <row r="74" spans="1:13" x14ac:dyDescent="0.25">
      <c r="A74" s="18">
        <v>11</v>
      </c>
      <c r="B74" s="18" t="s">
        <v>380</v>
      </c>
      <c r="C74" s="18" t="s">
        <v>430</v>
      </c>
      <c r="D74" s="18">
        <v>283749</v>
      </c>
      <c r="E74" s="18" t="s">
        <v>36</v>
      </c>
      <c r="F74" s="18" t="s">
        <v>431</v>
      </c>
      <c r="G74" s="18" t="s">
        <v>19</v>
      </c>
      <c r="H74" s="18" t="s">
        <v>20</v>
      </c>
      <c r="I74" s="19">
        <v>45797</v>
      </c>
      <c r="J74" s="19">
        <v>45798</v>
      </c>
      <c r="K74" s="20">
        <v>24000</v>
      </c>
      <c r="L74" s="52"/>
      <c r="M74" s="18"/>
    </row>
    <row r="75" spans="1:13" x14ac:dyDescent="0.25">
      <c r="A75" s="18">
        <v>12</v>
      </c>
      <c r="B75" s="18" t="s">
        <v>378</v>
      </c>
      <c r="C75" s="18" t="s">
        <v>432</v>
      </c>
      <c r="D75" s="18">
        <v>283894</v>
      </c>
      <c r="E75" s="18" t="s">
        <v>36</v>
      </c>
      <c r="F75" s="18" t="s">
        <v>433</v>
      </c>
      <c r="G75" s="18" t="s">
        <v>24</v>
      </c>
      <c r="H75" s="18" t="s">
        <v>20</v>
      </c>
      <c r="I75" s="19">
        <v>45798</v>
      </c>
      <c r="J75" s="19">
        <v>45800</v>
      </c>
      <c r="K75" s="20">
        <v>49000</v>
      </c>
      <c r="L75" s="52"/>
      <c r="M75" s="18"/>
    </row>
    <row r="76" spans="1:13" x14ac:dyDescent="0.25">
      <c r="A76" s="18">
        <v>13</v>
      </c>
      <c r="B76" s="18" t="s">
        <v>31</v>
      </c>
      <c r="C76" s="18" t="s">
        <v>434</v>
      </c>
      <c r="D76" s="18">
        <v>284097</v>
      </c>
      <c r="E76" s="18" t="s">
        <v>103</v>
      </c>
      <c r="F76" s="18" t="s">
        <v>146</v>
      </c>
      <c r="G76" s="18" t="s">
        <v>19</v>
      </c>
      <c r="H76" s="18" t="s">
        <v>20</v>
      </c>
      <c r="I76" s="19">
        <v>45799</v>
      </c>
      <c r="J76" s="19">
        <v>45800</v>
      </c>
      <c r="K76" s="20">
        <v>200</v>
      </c>
      <c r="L76" s="52"/>
      <c r="M76" s="18"/>
    </row>
    <row r="77" spans="1:13" x14ac:dyDescent="0.25">
      <c r="A77" s="18">
        <v>14</v>
      </c>
      <c r="B77" s="18" t="s">
        <v>31</v>
      </c>
      <c r="C77" s="18" t="s">
        <v>439</v>
      </c>
      <c r="D77" s="18">
        <v>284892</v>
      </c>
      <c r="E77" s="18" t="s">
        <v>36</v>
      </c>
      <c r="F77" s="18" t="s">
        <v>440</v>
      </c>
      <c r="G77" s="18" t="s">
        <v>19</v>
      </c>
      <c r="H77" s="18" t="s">
        <v>20</v>
      </c>
      <c r="I77" s="19">
        <v>45806</v>
      </c>
      <c r="J77" s="19">
        <v>45806</v>
      </c>
      <c r="K77" s="20">
        <v>6000</v>
      </c>
      <c r="L77" s="52"/>
      <c r="M77" s="18"/>
    </row>
    <row r="78" spans="1:13" x14ac:dyDescent="0.25">
      <c r="A78" s="18">
        <v>15</v>
      </c>
      <c r="B78" s="18" t="s">
        <v>16</v>
      </c>
      <c r="C78" s="18" t="s">
        <v>441</v>
      </c>
      <c r="D78" s="18">
        <v>284874</v>
      </c>
      <c r="E78" s="18" t="s">
        <v>36</v>
      </c>
      <c r="F78" s="18" t="s">
        <v>442</v>
      </c>
      <c r="G78" s="18" t="s">
        <v>24</v>
      </c>
      <c r="H78" s="18" t="s">
        <v>20</v>
      </c>
      <c r="I78" s="19">
        <v>45794</v>
      </c>
      <c r="J78" s="19">
        <v>44346</v>
      </c>
      <c r="K78" s="20">
        <v>45000</v>
      </c>
      <c r="L78" s="52" t="s">
        <v>443</v>
      </c>
      <c r="M78" s="18"/>
    </row>
    <row r="79" spans="1:13" x14ac:dyDescent="0.25">
      <c r="A79" s="18">
        <v>16</v>
      </c>
      <c r="B79" s="18" t="s">
        <v>387</v>
      </c>
      <c r="C79" s="18" t="s">
        <v>444</v>
      </c>
      <c r="D79" s="18">
        <v>284675</v>
      </c>
      <c r="E79" s="18" t="s">
        <v>17</v>
      </c>
      <c r="F79" s="18" t="s">
        <v>445</v>
      </c>
      <c r="G79" s="18" t="s">
        <v>19</v>
      </c>
      <c r="H79" s="18" t="s">
        <v>20</v>
      </c>
      <c r="I79" s="19">
        <v>45799</v>
      </c>
      <c r="J79" s="19">
        <v>45807</v>
      </c>
      <c r="K79" s="20">
        <v>45000</v>
      </c>
      <c r="L79" s="52" t="s">
        <v>446</v>
      </c>
      <c r="M79" s="18"/>
    </row>
    <row r="80" spans="1:13" x14ac:dyDescent="0.25">
      <c r="A80" s="18">
        <v>17</v>
      </c>
      <c r="B80" s="18" t="s">
        <v>31</v>
      </c>
      <c r="C80" s="18" t="s">
        <v>447</v>
      </c>
      <c r="D80" s="18">
        <v>285163</v>
      </c>
      <c r="E80" s="18" t="s">
        <v>17</v>
      </c>
      <c r="F80" s="18" t="s">
        <v>448</v>
      </c>
      <c r="G80" s="18" t="s">
        <v>19</v>
      </c>
      <c r="H80" s="18" t="s">
        <v>20</v>
      </c>
      <c r="I80" s="19">
        <v>45799</v>
      </c>
      <c r="J80" s="19">
        <v>45807</v>
      </c>
      <c r="K80" s="20">
        <v>18000</v>
      </c>
      <c r="L80" s="52"/>
      <c r="M80" s="18"/>
    </row>
    <row r="81" spans="1:13" x14ac:dyDescent="0.25">
      <c r="A81" s="18">
        <v>18</v>
      </c>
      <c r="B81" s="18" t="s">
        <v>31</v>
      </c>
      <c r="C81" s="18" t="s">
        <v>449</v>
      </c>
      <c r="D81" s="18">
        <v>285188</v>
      </c>
      <c r="E81" s="18" t="s">
        <v>129</v>
      </c>
      <c r="F81" s="18" t="s">
        <v>450</v>
      </c>
      <c r="G81" s="18" t="s">
        <v>19</v>
      </c>
      <c r="H81" s="18" t="s">
        <v>20</v>
      </c>
      <c r="I81" s="19">
        <v>45806</v>
      </c>
      <c r="J81" s="19">
        <v>45807</v>
      </c>
      <c r="K81" s="20">
        <v>220000</v>
      </c>
      <c r="L81" s="52" t="s">
        <v>451</v>
      </c>
      <c r="M81" s="18"/>
    </row>
    <row r="82" spans="1:13" ht="15.75" thickBot="1" x14ac:dyDescent="0.3">
      <c r="A82" s="18">
        <v>19</v>
      </c>
      <c r="B82" s="18" t="s">
        <v>122</v>
      </c>
      <c r="C82" s="18" t="s">
        <v>452</v>
      </c>
      <c r="D82" s="18">
        <v>283733</v>
      </c>
      <c r="E82" s="18" t="s">
        <v>17</v>
      </c>
      <c r="F82" s="18" t="s">
        <v>453</v>
      </c>
      <c r="G82" s="18" t="s">
        <v>19</v>
      </c>
      <c r="H82" s="18" t="s">
        <v>20</v>
      </c>
      <c r="I82" s="19">
        <v>45789</v>
      </c>
      <c r="J82" s="19">
        <v>45807</v>
      </c>
      <c r="K82" s="20">
        <v>36000</v>
      </c>
      <c r="L82" s="52" t="s">
        <v>454</v>
      </c>
      <c r="M82" s="18"/>
    </row>
    <row r="83" spans="1:13" ht="15.75" thickBot="1" x14ac:dyDescent="0.3">
      <c r="A83" s="185" t="s">
        <v>97</v>
      </c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7"/>
    </row>
    <row r="84" spans="1:13" x14ac:dyDescent="0.25">
      <c r="A84" s="36">
        <v>1</v>
      </c>
      <c r="B84" s="36" t="s">
        <v>31</v>
      </c>
      <c r="C84" s="18" t="s">
        <v>459</v>
      </c>
      <c r="D84" s="36">
        <v>285782</v>
      </c>
      <c r="E84" s="36" t="s">
        <v>17</v>
      </c>
      <c r="F84" s="70" t="s">
        <v>460</v>
      </c>
      <c r="G84" s="36" t="s">
        <v>24</v>
      </c>
      <c r="H84" s="36" t="s">
        <v>20</v>
      </c>
      <c r="I84" s="37">
        <v>45810</v>
      </c>
      <c r="J84" s="37">
        <v>45811</v>
      </c>
      <c r="K84" s="38">
        <v>17000</v>
      </c>
      <c r="L84" s="66" t="s">
        <v>437</v>
      </c>
      <c r="M84" s="38"/>
    </row>
    <row r="85" spans="1:13" x14ac:dyDescent="0.25">
      <c r="A85" s="13">
        <v>2</v>
      </c>
      <c r="B85" s="13" t="s">
        <v>16</v>
      </c>
      <c r="C85" s="13" t="s">
        <v>461</v>
      </c>
      <c r="D85" s="13">
        <v>285814</v>
      </c>
      <c r="E85" s="13" t="s">
        <v>36</v>
      </c>
      <c r="F85" s="13" t="s">
        <v>462</v>
      </c>
      <c r="G85" s="13" t="s">
        <v>24</v>
      </c>
      <c r="H85" s="13" t="s">
        <v>20</v>
      </c>
      <c r="I85" s="14">
        <v>45810</v>
      </c>
      <c r="J85" s="14">
        <v>45812</v>
      </c>
      <c r="K85" s="15">
        <v>38000</v>
      </c>
      <c r="L85" s="82" t="s">
        <v>262</v>
      </c>
      <c r="M85" s="13"/>
    </row>
    <row r="86" spans="1:13" x14ac:dyDescent="0.25">
      <c r="A86" s="13">
        <v>3</v>
      </c>
      <c r="B86" s="13" t="s">
        <v>380</v>
      </c>
      <c r="C86" s="13" t="s">
        <v>463</v>
      </c>
      <c r="D86" s="13">
        <v>286418</v>
      </c>
      <c r="E86" s="13" t="s">
        <v>36</v>
      </c>
      <c r="F86" s="13" t="s">
        <v>198</v>
      </c>
      <c r="G86" s="13" t="s">
        <v>24</v>
      </c>
      <c r="H86" s="13" t="s">
        <v>20</v>
      </c>
      <c r="I86" s="14">
        <v>45817</v>
      </c>
      <c r="J86" s="14">
        <v>45817</v>
      </c>
      <c r="K86" s="15">
        <v>35000</v>
      </c>
      <c r="L86" s="53"/>
      <c r="M86" s="13"/>
    </row>
    <row r="87" spans="1:13" x14ac:dyDescent="0.25">
      <c r="A87" s="13">
        <v>4</v>
      </c>
      <c r="B87" s="13" t="s">
        <v>16</v>
      </c>
      <c r="C87" s="13" t="s">
        <v>464</v>
      </c>
      <c r="D87" s="13">
        <v>286483</v>
      </c>
      <c r="E87" s="13" t="s">
        <v>17</v>
      </c>
      <c r="F87" s="13" t="s">
        <v>465</v>
      </c>
      <c r="G87" s="13" t="s">
        <v>19</v>
      </c>
      <c r="H87" s="13" t="s">
        <v>20</v>
      </c>
      <c r="I87" s="14">
        <v>45815</v>
      </c>
      <c r="J87" s="14">
        <v>45818</v>
      </c>
      <c r="K87" s="15">
        <v>27000</v>
      </c>
      <c r="L87" s="53" t="s">
        <v>466</v>
      </c>
      <c r="M87" s="13"/>
    </row>
    <row r="88" spans="1:13" x14ac:dyDescent="0.25">
      <c r="A88" s="13">
        <v>5</v>
      </c>
      <c r="B88" s="13" t="s">
        <v>16</v>
      </c>
      <c r="C88" s="13" t="s">
        <v>467</v>
      </c>
      <c r="D88" s="13">
        <v>286494</v>
      </c>
      <c r="E88" s="13" t="s">
        <v>17</v>
      </c>
      <c r="F88" s="13" t="s">
        <v>468</v>
      </c>
      <c r="G88" s="13" t="s">
        <v>24</v>
      </c>
      <c r="H88" s="13" t="s">
        <v>20</v>
      </c>
      <c r="I88" s="14">
        <v>45811</v>
      </c>
      <c r="J88" s="14">
        <v>45818</v>
      </c>
      <c r="K88" s="15">
        <v>17000</v>
      </c>
      <c r="L88" s="53"/>
      <c r="M88" s="13"/>
    </row>
    <row r="89" spans="1:13" x14ac:dyDescent="0.25">
      <c r="A89" s="13">
        <v>6</v>
      </c>
      <c r="B89" s="13" t="s">
        <v>387</v>
      </c>
      <c r="C89" s="13" t="s">
        <v>470</v>
      </c>
      <c r="D89" s="13">
        <v>287976</v>
      </c>
      <c r="E89" s="13" t="s">
        <v>36</v>
      </c>
      <c r="F89" s="13" t="s">
        <v>471</v>
      </c>
      <c r="G89" s="13" t="s">
        <v>24</v>
      </c>
      <c r="H89" s="13" t="s">
        <v>20</v>
      </c>
      <c r="I89" s="14">
        <v>45826</v>
      </c>
      <c r="J89" s="14">
        <v>45829</v>
      </c>
      <c r="K89" s="15">
        <v>60000</v>
      </c>
      <c r="L89" s="53"/>
      <c r="M89" s="13"/>
    </row>
    <row r="90" spans="1:13" x14ac:dyDescent="0.25">
      <c r="A90" s="13">
        <v>7</v>
      </c>
      <c r="B90" s="18" t="s">
        <v>40</v>
      </c>
      <c r="C90" s="13" t="s">
        <v>473</v>
      </c>
      <c r="D90" s="13">
        <v>288109</v>
      </c>
      <c r="E90" s="13" t="s">
        <v>63</v>
      </c>
      <c r="F90" s="13" t="s">
        <v>404</v>
      </c>
      <c r="G90" s="13" t="s">
        <v>24</v>
      </c>
      <c r="H90" s="13" t="s">
        <v>25</v>
      </c>
      <c r="I90" s="14">
        <v>45829</v>
      </c>
      <c r="J90" s="14">
        <v>45829</v>
      </c>
      <c r="K90" s="15">
        <v>250</v>
      </c>
      <c r="L90" s="53"/>
      <c r="M90" s="13"/>
    </row>
    <row r="91" spans="1:13" x14ac:dyDescent="0.25">
      <c r="A91" s="13">
        <v>8</v>
      </c>
      <c r="B91" s="18" t="s">
        <v>40</v>
      </c>
      <c r="C91" s="18" t="s">
        <v>474</v>
      </c>
      <c r="D91" s="18">
        <v>288178</v>
      </c>
      <c r="E91" s="18" t="s">
        <v>63</v>
      </c>
      <c r="F91" s="18" t="s">
        <v>475</v>
      </c>
      <c r="G91" s="18" t="s">
        <v>19</v>
      </c>
      <c r="H91" s="18" t="s">
        <v>25</v>
      </c>
      <c r="I91" s="19">
        <v>45828</v>
      </c>
      <c r="J91" s="19">
        <v>45831</v>
      </c>
      <c r="K91" s="20">
        <v>200</v>
      </c>
      <c r="L91" s="52" t="s">
        <v>476</v>
      </c>
      <c r="M91" s="18"/>
    </row>
    <row r="92" spans="1:13" x14ac:dyDescent="0.25">
      <c r="A92" s="13">
        <v>9</v>
      </c>
      <c r="B92" s="18" t="s">
        <v>16</v>
      </c>
      <c r="C92" s="18" t="s">
        <v>477</v>
      </c>
      <c r="D92" s="18">
        <v>288156</v>
      </c>
      <c r="E92" s="18" t="s">
        <v>17</v>
      </c>
      <c r="F92" s="18" t="s">
        <v>478</v>
      </c>
      <c r="G92" s="18" t="s">
        <v>24</v>
      </c>
      <c r="H92" s="18" t="s">
        <v>20</v>
      </c>
      <c r="I92" s="19">
        <v>45830</v>
      </c>
      <c r="J92" s="19">
        <v>45834</v>
      </c>
      <c r="K92" s="20">
        <v>17000</v>
      </c>
      <c r="L92" s="52" t="s">
        <v>479</v>
      </c>
      <c r="M92" s="18"/>
    </row>
    <row r="93" spans="1:13" x14ac:dyDescent="0.25">
      <c r="A93" s="13">
        <v>10</v>
      </c>
      <c r="B93" s="18" t="s">
        <v>31</v>
      </c>
      <c r="C93" s="18" t="s">
        <v>480</v>
      </c>
      <c r="D93" s="18">
        <v>288779</v>
      </c>
      <c r="E93" s="18" t="s">
        <v>17</v>
      </c>
      <c r="F93" s="18" t="s">
        <v>359</v>
      </c>
      <c r="G93" s="18" t="s">
        <v>19</v>
      </c>
      <c r="H93" s="18" t="s">
        <v>20</v>
      </c>
      <c r="I93" s="19">
        <v>45831</v>
      </c>
      <c r="J93" s="19">
        <v>45834</v>
      </c>
      <c r="K93" s="20">
        <v>40000</v>
      </c>
      <c r="L93" s="52"/>
      <c r="M93" s="18"/>
    </row>
    <row r="94" spans="1:13" x14ac:dyDescent="0.25">
      <c r="A94" s="13">
        <v>11</v>
      </c>
      <c r="B94" s="13" t="s">
        <v>31</v>
      </c>
      <c r="C94" s="13" t="s">
        <v>483</v>
      </c>
      <c r="D94" s="13">
        <v>288965</v>
      </c>
      <c r="E94" s="13" t="s">
        <v>82</v>
      </c>
      <c r="F94" s="13" t="s">
        <v>102</v>
      </c>
      <c r="G94" s="13" t="s">
        <v>24</v>
      </c>
      <c r="H94" s="13" t="s">
        <v>20</v>
      </c>
      <c r="I94" s="14">
        <v>45823</v>
      </c>
      <c r="J94" s="14">
        <v>45835</v>
      </c>
      <c r="K94" s="15">
        <v>3200000</v>
      </c>
      <c r="L94" s="53"/>
      <c r="M94" s="13"/>
    </row>
    <row r="95" spans="1:13" x14ac:dyDescent="0.25">
      <c r="A95" s="13">
        <v>12</v>
      </c>
      <c r="B95" s="18" t="s">
        <v>31</v>
      </c>
      <c r="C95" s="18" t="s">
        <v>484</v>
      </c>
      <c r="D95" s="18">
        <v>288971</v>
      </c>
      <c r="E95" s="18" t="s">
        <v>63</v>
      </c>
      <c r="F95" s="18" t="s">
        <v>404</v>
      </c>
      <c r="G95" s="18" t="s">
        <v>19</v>
      </c>
      <c r="H95" s="18" t="s">
        <v>25</v>
      </c>
      <c r="I95" s="19">
        <v>45828</v>
      </c>
      <c r="J95" s="19">
        <v>45835</v>
      </c>
      <c r="K95" s="20">
        <v>350</v>
      </c>
      <c r="L95" s="52"/>
      <c r="M95" s="18"/>
    </row>
    <row r="96" spans="1:13" x14ac:dyDescent="0.25">
      <c r="A96" s="13">
        <v>13</v>
      </c>
      <c r="B96" s="18" t="s">
        <v>380</v>
      </c>
      <c r="C96" s="18" t="s">
        <v>485</v>
      </c>
      <c r="D96" s="18">
        <v>288997</v>
      </c>
      <c r="E96" s="18" t="s">
        <v>36</v>
      </c>
      <c r="F96" s="18" t="s">
        <v>486</v>
      </c>
      <c r="G96" s="18" t="s">
        <v>19</v>
      </c>
      <c r="H96" s="18" t="s">
        <v>20</v>
      </c>
      <c r="I96" s="19">
        <v>45834</v>
      </c>
      <c r="J96" s="19">
        <v>45835</v>
      </c>
      <c r="K96" s="20">
        <v>90000</v>
      </c>
      <c r="L96" s="52" t="s">
        <v>199</v>
      </c>
      <c r="M96" s="18"/>
    </row>
    <row r="97" spans="1:13" x14ac:dyDescent="0.25">
      <c r="A97" s="13">
        <v>14</v>
      </c>
      <c r="B97" s="18" t="s">
        <v>31</v>
      </c>
      <c r="C97" s="18" t="s">
        <v>487</v>
      </c>
      <c r="D97" s="18">
        <v>289112</v>
      </c>
      <c r="E97" s="18" t="s">
        <v>129</v>
      </c>
      <c r="F97" s="18" t="s">
        <v>488</v>
      </c>
      <c r="G97" s="18" t="s">
        <v>19</v>
      </c>
      <c r="H97" s="18" t="s">
        <v>20</v>
      </c>
      <c r="I97" s="19">
        <v>45835</v>
      </c>
      <c r="J97" s="19">
        <v>45835</v>
      </c>
      <c r="K97" s="20">
        <v>23000</v>
      </c>
      <c r="L97" s="52" t="s">
        <v>489</v>
      </c>
      <c r="M97" s="18"/>
    </row>
    <row r="98" spans="1:13" ht="15.75" thickBot="1" x14ac:dyDescent="0.3">
      <c r="A98" s="13">
        <v>15</v>
      </c>
      <c r="B98" s="18" t="s">
        <v>16</v>
      </c>
      <c r="C98" s="18" t="s">
        <v>490</v>
      </c>
      <c r="D98" s="18">
        <v>289567</v>
      </c>
      <c r="E98" s="18" t="s">
        <v>17</v>
      </c>
      <c r="F98" s="18" t="s">
        <v>239</v>
      </c>
      <c r="G98" s="18" t="s">
        <v>19</v>
      </c>
      <c r="H98" s="18" t="s">
        <v>20</v>
      </c>
      <c r="I98" s="19">
        <v>45836</v>
      </c>
      <c r="J98" s="19">
        <v>45838</v>
      </c>
      <c r="K98" s="20">
        <v>14000</v>
      </c>
      <c r="L98" s="52"/>
      <c r="M98" s="18"/>
    </row>
    <row r="99" spans="1:13" ht="15.75" thickBot="1" x14ac:dyDescent="0.3">
      <c r="A99" s="185" t="s">
        <v>116</v>
      </c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7"/>
    </row>
    <row r="100" spans="1:13" x14ac:dyDescent="0.25">
      <c r="A100" s="13">
        <v>1</v>
      </c>
      <c r="B100" s="18" t="s">
        <v>40</v>
      </c>
      <c r="C100" s="18" t="s">
        <v>492</v>
      </c>
      <c r="D100" s="13">
        <v>290330</v>
      </c>
      <c r="E100" s="13" t="s">
        <v>63</v>
      </c>
      <c r="F100" s="13" t="s">
        <v>493</v>
      </c>
      <c r="G100" s="13" t="s">
        <v>19</v>
      </c>
      <c r="H100" s="13" t="s">
        <v>25</v>
      </c>
      <c r="I100" s="14">
        <v>45841</v>
      </c>
      <c r="J100" s="14">
        <v>45841</v>
      </c>
      <c r="K100" s="15">
        <v>500</v>
      </c>
      <c r="L100" s="82"/>
      <c r="M100" s="15"/>
    </row>
    <row r="101" spans="1:13" x14ac:dyDescent="0.25">
      <c r="A101" s="13">
        <v>2</v>
      </c>
      <c r="B101" s="13" t="s">
        <v>31</v>
      </c>
      <c r="C101" s="13" t="s">
        <v>494</v>
      </c>
      <c r="D101" s="13">
        <v>290708</v>
      </c>
      <c r="E101" s="13" t="s">
        <v>101</v>
      </c>
      <c r="F101" s="13" t="s">
        <v>102</v>
      </c>
      <c r="G101" s="13" t="s">
        <v>24</v>
      </c>
      <c r="H101" s="13" t="s">
        <v>20</v>
      </c>
      <c r="I101" s="14">
        <v>44995</v>
      </c>
      <c r="J101" s="14">
        <v>45842</v>
      </c>
      <c r="K101" s="15">
        <v>350000</v>
      </c>
      <c r="L101" s="82"/>
      <c r="M101" s="13"/>
    </row>
    <row r="102" spans="1:13" x14ac:dyDescent="0.25">
      <c r="A102" s="13">
        <v>3</v>
      </c>
      <c r="B102" s="13" t="s">
        <v>380</v>
      </c>
      <c r="C102" s="13" t="s">
        <v>497</v>
      </c>
      <c r="D102" s="13">
        <v>291001</v>
      </c>
      <c r="E102" s="13" t="s">
        <v>63</v>
      </c>
      <c r="F102" s="13" t="s">
        <v>500</v>
      </c>
      <c r="G102" s="13" t="s">
        <v>19</v>
      </c>
      <c r="H102" s="13" t="s">
        <v>20</v>
      </c>
      <c r="I102" s="14">
        <v>45847</v>
      </c>
      <c r="J102" s="14">
        <v>45848</v>
      </c>
      <c r="K102" s="15">
        <v>55000</v>
      </c>
      <c r="L102" s="53"/>
      <c r="M102" s="13"/>
    </row>
    <row r="103" spans="1:13" x14ac:dyDescent="0.25">
      <c r="A103" s="13">
        <v>4</v>
      </c>
      <c r="B103" s="13" t="s">
        <v>380</v>
      </c>
      <c r="C103" s="13" t="s">
        <v>498</v>
      </c>
      <c r="D103" s="13">
        <v>291011</v>
      </c>
      <c r="E103" s="13" t="s">
        <v>63</v>
      </c>
      <c r="F103" s="13" t="s">
        <v>499</v>
      </c>
      <c r="G103" s="13" t="s">
        <v>19</v>
      </c>
      <c r="H103" s="13" t="s">
        <v>20</v>
      </c>
      <c r="I103" s="14">
        <v>45847</v>
      </c>
      <c r="J103" s="14">
        <v>45848</v>
      </c>
      <c r="K103" s="15">
        <v>28000</v>
      </c>
      <c r="L103" s="53"/>
      <c r="M103" s="13"/>
    </row>
    <row r="104" spans="1:13" x14ac:dyDescent="0.25">
      <c r="A104" s="13">
        <v>5</v>
      </c>
      <c r="B104" s="13" t="s">
        <v>16</v>
      </c>
      <c r="C104" s="13" t="s">
        <v>501</v>
      </c>
      <c r="D104" s="13">
        <v>291321</v>
      </c>
      <c r="E104" s="13" t="s">
        <v>33</v>
      </c>
      <c r="F104" s="13" t="s">
        <v>502</v>
      </c>
      <c r="G104" s="13" t="s">
        <v>19</v>
      </c>
      <c r="H104" s="13" t="s">
        <v>20</v>
      </c>
      <c r="I104" s="14">
        <v>45851</v>
      </c>
      <c r="J104" s="14">
        <v>45852</v>
      </c>
      <c r="K104" s="15">
        <v>30000</v>
      </c>
      <c r="L104" s="53" t="s">
        <v>503</v>
      </c>
      <c r="M104" s="13"/>
    </row>
    <row r="105" spans="1:13" x14ac:dyDescent="0.25">
      <c r="A105" s="13">
        <v>6</v>
      </c>
      <c r="B105" s="13" t="s">
        <v>380</v>
      </c>
      <c r="C105" s="13" t="s">
        <v>506</v>
      </c>
      <c r="D105" s="13">
        <v>291550</v>
      </c>
      <c r="E105" s="149" t="s">
        <v>505</v>
      </c>
      <c r="F105" s="149" t="s">
        <v>504</v>
      </c>
      <c r="G105" s="13" t="s">
        <v>19</v>
      </c>
      <c r="H105" s="13" t="s">
        <v>20</v>
      </c>
      <c r="I105" s="14">
        <v>45853</v>
      </c>
      <c r="J105" s="14">
        <v>45854</v>
      </c>
      <c r="K105" s="15">
        <v>250000</v>
      </c>
      <c r="L105" s="53"/>
      <c r="M105" s="13"/>
    </row>
    <row r="106" spans="1:13" x14ac:dyDescent="0.25">
      <c r="A106" s="13">
        <v>7</v>
      </c>
      <c r="B106" s="13" t="s">
        <v>380</v>
      </c>
      <c r="C106" s="13" t="s">
        <v>507</v>
      </c>
      <c r="D106" s="13">
        <v>291680</v>
      </c>
      <c r="E106" s="46" t="s">
        <v>42</v>
      </c>
      <c r="F106" s="13" t="s">
        <v>508</v>
      </c>
      <c r="G106" s="13" t="s">
        <v>19</v>
      </c>
      <c r="H106" s="13" t="s">
        <v>20</v>
      </c>
      <c r="I106" s="14">
        <v>45853</v>
      </c>
      <c r="J106" s="14">
        <v>45854</v>
      </c>
      <c r="K106" s="15">
        <v>40000</v>
      </c>
      <c r="L106" s="53"/>
      <c r="M106" s="13"/>
    </row>
    <row r="107" spans="1:13" x14ac:dyDescent="0.25">
      <c r="A107" s="13">
        <v>8</v>
      </c>
      <c r="B107" s="18" t="s">
        <v>380</v>
      </c>
      <c r="C107" s="18" t="s">
        <v>509</v>
      </c>
      <c r="D107" s="18">
        <v>291692</v>
      </c>
      <c r="E107" s="85" t="s">
        <v>42</v>
      </c>
      <c r="F107" s="18" t="s">
        <v>510</v>
      </c>
      <c r="G107" s="18" t="s">
        <v>19</v>
      </c>
      <c r="H107" s="18" t="s">
        <v>20</v>
      </c>
      <c r="I107" s="19">
        <v>45853</v>
      </c>
      <c r="J107" s="19">
        <v>45854</v>
      </c>
      <c r="K107" s="20">
        <v>70000</v>
      </c>
      <c r="L107" s="52"/>
      <c r="M107" s="18"/>
    </row>
    <row r="108" spans="1:13" x14ac:dyDescent="0.25">
      <c r="A108" s="13">
        <v>9</v>
      </c>
      <c r="B108" s="18" t="s">
        <v>380</v>
      </c>
      <c r="C108" s="18" t="s">
        <v>511</v>
      </c>
      <c r="D108" s="18">
        <v>291791</v>
      </c>
      <c r="E108" s="18" t="s">
        <v>33</v>
      </c>
      <c r="F108" s="18" t="s">
        <v>512</v>
      </c>
      <c r="G108" s="18" t="s">
        <v>24</v>
      </c>
      <c r="H108" s="18" t="s">
        <v>20</v>
      </c>
      <c r="I108" s="19">
        <v>45839</v>
      </c>
      <c r="J108" s="19">
        <v>45855</v>
      </c>
      <c r="K108" s="20">
        <v>75000</v>
      </c>
      <c r="L108" s="52"/>
      <c r="M108" s="18"/>
    </row>
    <row r="109" spans="1:13" x14ac:dyDescent="0.25">
      <c r="A109" s="13">
        <v>10</v>
      </c>
      <c r="B109" s="18" t="s">
        <v>380</v>
      </c>
      <c r="C109" s="18" t="s">
        <v>513</v>
      </c>
      <c r="D109" s="18">
        <v>291940</v>
      </c>
      <c r="E109" s="18" t="s">
        <v>82</v>
      </c>
      <c r="F109" s="18" t="s">
        <v>514</v>
      </c>
      <c r="G109" s="18" t="s">
        <v>19</v>
      </c>
      <c r="H109" s="18" t="s">
        <v>20</v>
      </c>
      <c r="I109" s="19">
        <v>45855</v>
      </c>
      <c r="J109" s="19">
        <v>45855</v>
      </c>
      <c r="K109" s="20">
        <v>750000</v>
      </c>
      <c r="L109" s="52" t="s">
        <v>515</v>
      </c>
      <c r="M109" s="18"/>
    </row>
    <row r="110" spans="1:13" x14ac:dyDescent="0.25">
      <c r="A110" s="13">
        <v>11</v>
      </c>
      <c r="B110" s="13" t="s">
        <v>31</v>
      </c>
      <c r="C110" s="13" t="s">
        <v>516</v>
      </c>
      <c r="D110" s="13">
        <v>291988</v>
      </c>
      <c r="E110" s="13" t="s">
        <v>36</v>
      </c>
      <c r="F110" s="13" t="s">
        <v>517</v>
      </c>
      <c r="G110" s="13" t="s">
        <v>19</v>
      </c>
      <c r="H110" s="13" t="s">
        <v>20</v>
      </c>
      <c r="I110" s="14">
        <v>45854</v>
      </c>
      <c r="J110" s="14">
        <v>45856</v>
      </c>
      <c r="K110" s="15">
        <v>30000</v>
      </c>
      <c r="L110" s="53"/>
      <c r="M110" s="13"/>
    </row>
    <row r="111" spans="1:13" x14ac:dyDescent="0.25">
      <c r="A111" s="167">
        <v>12</v>
      </c>
      <c r="B111" s="168" t="s">
        <v>16</v>
      </c>
      <c r="C111" s="168" t="s">
        <v>518</v>
      </c>
      <c r="D111" s="168">
        <v>292137</v>
      </c>
      <c r="E111" s="168" t="s">
        <v>17</v>
      </c>
      <c r="F111" s="168" t="s">
        <v>519</v>
      </c>
      <c r="G111" s="168" t="s">
        <v>24</v>
      </c>
      <c r="H111" s="168" t="s">
        <v>20</v>
      </c>
      <c r="I111" s="169">
        <v>45856</v>
      </c>
      <c r="J111" s="169">
        <v>45859</v>
      </c>
      <c r="K111" s="170">
        <v>20500</v>
      </c>
      <c r="L111" s="171" t="s">
        <v>520</v>
      </c>
      <c r="M111" s="18"/>
    </row>
    <row r="112" spans="1:13" x14ac:dyDescent="0.25">
      <c r="A112" s="13">
        <v>13</v>
      </c>
      <c r="B112" s="18" t="s">
        <v>16</v>
      </c>
      <c r="C112" s="18" t="s">
        <v>521</v>
      </c>
      <c r="D112" s="18">
        <v>292140</v>
      </c>
      <c r="E112" s="18" t="s">
        <v>17</v>
      </c>
      <c r="F112" s="18" t="s">
        <v>522</v>
      </c>
      <c r="G112" s="18" t="s">
        <v>19</v>
      </c>
      <c r="H112" s="18" t="s">
        <v>20</v>
      </c>
      <c r="I112" s="19">
        <v>45857</v>
      </c>
      <c r="J112" s="19">
        <v>45859</v>
      </c>
      <c r="K112" s="20">
        <v>22000</v>
      </c>
      <c r="L112" s="52"/>
      <c r="M112" s="18"/>
    </row>
    <row r="113" spans="1:13" x14ac:dyDescent="0.25">
      <c r="A113" s="13">
        <v>14</v>
      </c>
      <c r="B113" s="18" t="s">
        <v>380</v>
      </c>
      <c r="C113" s="18" t="s">
        <v>523</v>
      </c>
      <c r="D113" s="18">
        <v>292214</v>
      </c>
      <c r="E113" s="18" t="s">
        <v>524</v>
      </c>
      <c r="F113" s="18" t="s">
        <v>525</v>
      </c>
      <c r="G113" s="18" t="s">
        <v>19</v>
      </c>
      <c r="H113" s="18" t="s">
        <v>20</v>
      </c>
      <c r="I113" s="19">
        <v>45855</v>
      </c>
      <c r="J113" s="19">
        <v>45859</v>
      </c>
      <c r="K113" s="20">
        <v>30000</v>
      </c>
      <c r="L113" s="52"/>
      <c r="M113" s="18"/>
    </row>
    <row r="114" spans="1:13" x14ac:dyDescent="0.25">
      <c r="A114" s="13">
        <v>15</v>
      </c>
      <c r="B114" s="18" t="s">
        <v>380</v>
      </c>
      <c r="C114" s="18" t="s">
        <v>526</v>
      </c>
      <c r="D114" s="18">
        <v>292221</v>
      </c>
      <c r="E114" s="18" t="s">
        <v>42</v>
      </c>
      <c r="F114" s="18" t="s">
        <v>527</v>
      </c>
      <c r="G114" s="18" t="s">
        <v>19</v>
      </c>
      <c r="H114" s="18" t="s">
        <v>20</v>
      </c>
      <c r="I114" s="19">
        <v>45855</v>
      </c>
      <c r="J114" s="19">
        <v>45859</v>
      </c>
      <c r="K114" s="20">
        <v>90000</v>
      </c>
      <c r="L114" s="52"/>
      <c r="M114" s="18"/>
    </row>
    <row r="115" spans="1:13" x14ac:dyDescent="0.25">
      <c r="A115" s="13">
        <v>16</v>
      </c>
      <c r="B115" s="18" t="s">
        <v>31</v>
      </c>
      <c r="C115" s="18" t="s">
        <v>528</v>
      </c>
      <c r="D115" s="18">
        <v>292258</v>
      </c>
      <c r="E115" s="18" t="s">
        <v>17</v>
      </c>
      <c r="F115" s="18" t="s">
        <v>43</v>
      </c>
      <c r="G115" s="18" t="s">
        <v>19</v>
      </c>
      <c r="H115" s="18" t="s">
        <v>20</v>
      </c>
      <c r="I115" s="19">
        <v>45856</v>
      </c>
      <c r="J115" s="19">
        <v>45859</v>
      </c>
      <c r="K115" s="20">
        <v>18500</v>
      </c>
      <c r="L115" s="52"/>
      <c r="M115" s="18"/>
    </row>
    <row r="116" spans="1:13" x14ac:dyDescent="0.25">
      <c r="A116" s="18">
        <v>17</v>
      </c>
      <c r="B116" s="18" t="s">
        <v>380</v>
      </c>
      <c r="C116" s="18" t="s">
        <v>529</v>
      </c>
      <c r="D116" s="18">
        <v>292433</v>
      </c>
      <c r="E116" s="18" t="s">
        <v>42</v>
      </c>
      <c r="F116" s="18" t="s">
        <v>530</v>
      </c>
      <c r="G116" s="18" t="s">
        <v>19</v>
      </c>
      <c r="H116" s="18" t="s">
        <v>20</v>
      </c>
      <c r="I116" s="19">
        <v>45853</v>
      </c>
      <c r="J116" s="19">
        <v>45867</v>
      </c>
      <c r="K116" s="20">
        <v>30000</v>
      </c>
      <c r="L116" s="52"/>
      <c r="M116" s="18"/>
    </row>
    <row r="117" spans="1:13" x14ac:dyDescent="0.25">
      <c r="A117" s="18">
        <v>18</v>
      </c>
      <c r="B117" s="18" t="s">
        <v>380</v>
      </c>
      <c r="C117" s="18" t="s">
        <v>531</v>
      </c>
      <c r="D117" s="18">
        <v>292706</v>
      </c>
      <c r="E117" s="18" t="s">
        <v>63</v>
      </c>
      <c r="F117" s="18" t="s">
        <v>532</v>
      </c>
      <c r="G117" s="18" t="s">
        <v>19</v>
      </c>
      <c r="H117" s="18" t="s">
        <v>25</v>
      </c>
      <c r="I117" s="19">
        <v>45856</v>
      </c>
      <c r="J117" s="19">
        <v>45867</v>
      </c>
      <c r="K117" s="20">
        <v>400</v>
      </c>
      <c r="L117" s="52"/>
      <c r="M117" s="18"/>
    </row>
    <row r="118" spans="1:13" ht="15.75" thickBot="1" x14ac:dyDescent="0.3">
      <c r="A118" s="18">
        <v>19</v>
      </c>
      <c r="B118" s="18" t="s">
        <v>380</v>
      </c>
      <c r="C118" s="18" t="s">
        <v>533</v>
      </c>
      <c r="D118" s="18">
        <v>293057</v>
      </c>
      <c r="E118" s="18" t="s">
        <v>17</v>
      </c>
      <c r="F118" s="18" t="s">
        <v>534</v>
      </c>
      <c r="G118" s="18" t="s">
        <v>19</v>
      </c>
      <c r="H118" s="18" t="s">
        <v>20</v>
      </c>
      <c r="I118" s="19">
        <v>45864</v>
      </c>
      <c r="J118" s="19">
        <v>45867</v>
      </c>
      <c r="K118" s="20">
        <v>35000</v>
      </c>
      <c r="L118" s="52"/>
      <c r="M118" s="18"/>
    </row>
    <row r="119" spans="1:13" ht="15.75" thickBot="1" x14ac:dyDescent="0.3">
      <c r="A119" s="185" t="s">
        <v>130</v>
      </c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7"/>
    </row>
    <row r="120" spans="1:13" x14ac:dyDescent="0.25">
      <c r="A120" s="13">
        <v>1</v>
      </c>
      <c r="B120" s="13" t="s">
        <v>380</v>
      </c>
      <c r="C120" s="18" t="s">
        <v>541</v>
      </c>
      <c r="D120" s="18">
        <v>294160</v>
      </c>
      <c r="E120" s="13" t="s">
        <v>17</v>
      </c>
      <c r="F120" s="13" t="s">
        <v>542</v>
      </c>
      <c r="G120" s="13" t="s">
        <v>19</v>
      </c>
      <c r="H120" s="13" t="s">
        <v>20</v>
      </c>
      <c r="I120" s="14">
        <v>45869</v>
      </c>
      <c r="J120" s="14">
        <v>45871</v>
      </c>
      <c r="K120" s="15">
        <v>14000</v>
      </c>
      <c r="L120" s="82" t="s">
        <v>543</v>
      </c>
      <c r="M120" s="15"/>
    </row>
    <row r="121" spans="1:13" x14ac:dyDescent="0.25">
      <c r="A121" s="13">
        <v>2</v>
      </c>
      <c r="B121" s="13" t="s">
        <v>40</v>
      </c>
      <c r="C121" s="13" t="s">
        <v>544</v>
      </c>
      <c r="D121" s="13">
        <v>294230</v>
      </c>
      <c r="E121" s="13" t="s">
        <v>17</v>
      </c>
      <c r="F121" s="13" t="s">
        <v>547</v>
      </c>
      <c r="G121" s="13" t="s">
        <v>19</v>
      </c>
      <c r="H121" s="13" t="s">
        <v>25</v>
      </c>
      <c r="I121" s="14">
        <v>45869</v>
      </c>
      <c r="J121" s="14">
        <v>45873</v>
      </c>
      <c r="K121" s="15">
        <v>220</v>
      </c>
      <c r="L121" s="82"/>
      <c r="M121" s="13"/>
    </row>
    <row r="122" spans="1:13" x14ac:dyDescent="0.25">
      <c r="A122" s="13">
        <v>3</v>
      </c>
      <c r="B122" s="13" t="s">
        <v>380</v>
      </c>
      <c r="C122" s="13" t="s">
        <v>549</v>
      </c>
      <c r="D122" s="13">
        <v>294959</v>
      </c>
      <c r="E122" s="13" t="s">
        <v>524</v>
      </c>
      <c r="F122" s="13" t="s">
        <v>550</v>
      </c>
      <c r="G122" s="13" t="s">
        <v>19</v>
      </c>
      <c r="H122" s="13" t="s">
        <v>20</v>
      </c>
      <c r="I122" s="14">
        <v>45880</v>
      </c>
      <c r="J122" s="14">
        <v>45880</v>
      </c>
      <c r="K122" s="15">
        <v>75000</v>
      </c>
      <c r="L122" s="53"/>
      <c r="M122" s="13"/>
    </row>
    <row r="123" spans="1:13" x14ac:dyDescent="0.25">
      <c r="A123" s="13">
        <v>4</v>
      </c>
      <c r="B123" s="13" t="s">
        <v>380</v>
      </c>
      <c r="C123" s="13" t="s">
        <v>551</v>
      </c>
      <c r="D123" s="13">
        <v>294970</v>
      </c>
      <c r="E123" s="13" t="s">
        <v>524</v>
      </c>
      <c r="F123" s="13" t="s">
        <v>552</v>
      </c>
      <c r="G123" s="13" t="s">
        <v>19</v>
      </c>
      <c r="H123" s="13" t="s">
        <v>20</v>
      </c>
      <c r="I123" s="14">
        <v>45880</v>
      </c>
      <c r="J123" s="14">
        <v>45880</v>
      </c>
      <c r="K123" s="15">
        <v>20000</v>
      </c>
      <c r="L123" s="53"/>
      <c r="M123" s="13"/>
    </row>
    <row r="124" spans="1:13" x14ac:dyDescent="0.25">
      <c r="A124" s="13">
        <v>5</v>
      </c>
      <c r="B124" s="13" t="s">
        <v>16</v>
      </c>
      <c r="C124" s="13" t="s">
        <v>556</v>
      </c>
      <c r="D124" s="13">
        <v>295555</v>
      </c>
      <c r="E124" s="13" t="s">
        <v>33</v>
      </c>
      <c r="F124" s="13" t="s">
        <v>557</v>
      </c>
      <c r="G124" s="13" t="s">
        <v>19</v>
      </c>
      <c r="H124" s="13" t="s">
        <v>20</v>
      </c>
      <c r="I124" s="14">
        <v>45883</v>
      </c>
      <c r="J124" s="14">
        <v>45887</v>
      </c>
      <c r="K124" s="15">
        <v>26000</v>
      </c>
      <c r="L124" s="53"/>
      <c r="M124" s="13"/>
    </row>
    <row r="125" spans="1:13" x14ac:dyDescent="0.25">
      <c r="A125" s="13">
        <v>6</v>
      </c>
      <c r="B125" s="13" t="s">
        <v>16</v>
      </c>
      <c r="C125" s="13" t="s">
        <v>558</v>
      </c>
      <c r="D125" s="13">
        <v>295557</v>
      </c>
      <c r="E125" s="13" t="s">
        <v>17</v>
      </c>
      <c r="F125" s="13" t="s">
        <v>559</v>
      </c>
      <c r="G125" s="13" t="s">
        <v>19</v>
      </c>
      <c r="H125" s="13" t="s">
        <v>20</v>
      </c>
      <c r="I125" s="14">
        <v>45878</v>
      </c>
      <c r="J125" s="14">
        <v>45887</v>
      </c>
      <c r="K125" s="15">
        <v>17000</v>
      </c>
      <c r="L125" s="53"/>
      <c r="M125" s="13"/>
    </row>
    <row r="126" spans="1:13" x14ac:dyDescent="0.25">
      <c r="A126" s="13">
        <v>7</v>
      </c>
      <c r="B126" s="13" t="s">
        <v>380</v>
      </c>
      <c r="C126" s="13" t="s">
        <v>562</v>
      </c>
      <c r="D126" s="13">
        <v>297499</v>
      </c>
      <c r="E126" s="13" t="s">
        <v>36</v>
      </c>
      <c r="F126" s="13" t="s">
        <v>563</v>
      </c>
      <c r="G126" s="13" t="s">
        <v>24</v>
      </c>
      <c r="H126" s="13" t="s">
        <v>20</v>
      </c>
      <c r="I126" s="14">
        <v>45896</v>
      </c>
      <c r="J126" s="14">
        <v>45897</v>
      </c>
      <c r="K126" s="15">
        <v>28000</v>
      </c>
      <c r="L126" s="53"/>
      <c r="M126" s="13"/>
    </row>
    <row r="127" spans="1:13" x14ac:dyDescent="0.25">
      <c r="A127" s="13">
        <v>8</v>
      </c>
      <c r="B127" s="18" t="s">
        <v>380</v>
      </c>
      <c r="C127" s="18" t="s">
        <v>564</v>
      </c>
      <c r="D127" s="18">
        <v>297486</v>
      </c>
      <c r="E127" s="18" t="s">
        <v>565</v>
      </c>
      <c r="F127" s="18" t="s">
        <v>566</v>
      </c>
      <c r="G127" s="18" t="s">
        <v>19</v>
      </c>
      <c r="H127" s="18" t="s">
        <v>20</v>
      </c>
      <c r="I127" s="19">
        <v>45897</v>
      </c>
      <c r="J127" s="19">
        <v>45897</v>
      </c>
      <c r="K127" s="20">
        <v>150000</v>
      </c>
      <c r="L127" s="52"/>
      <c r="M127" s="18"/>
    </row>
    <row r="128" spans="1:13" x14ac:dyDescent="0.25">
      <c r="A128" s="13">
        <v>9</v>
      </c>
      <c r="B128" s="18" t="s">
        <v>16</v>
      </c>
      <c r="C128" s="18" t="s">
        <v>567</v>
      </c>
      <c r="D128" s="18">
        <v>297319</v>
      </c>
      <c r="E128" s="18" t="s">
        <v>36</v>
      </c>
      <c r="F128" s="18" t="s">
        <v>568</v>
      </c>
      <c r="G128" s="18" t="s">
        <v>24</v>
      </c>
      <c r="H128" s="18" t="s">
        <v>20</v>
      </c>
      <c r="I128" s="19">
        <v>45895</v>
      </c>
      <c r="J128" s="19">
        <v>45897</v>
      </c>
      <c r="K128" s="20">
        <v>59000</v>
      </c>
      <c r="L128" s="52" t="s">
        <v>220</v>
      </c>
      <c r="M128" s="18"/>
    </row>
    <row r="129" spans="1:13" x14ac:dyDescent="0.25">
      <c r="A129" s="13">
        <v>10</v>
      </c>
      <c r="B129" s="18" t="s">
        <v>40</v>
      </c>
      <c r="C129" s="18" t="s">
        <v>569</v>
      </c>
      <c r="D129" s="18">
        <v>297252</v>
      </c>
      <c r="E129" s="18" t="s">
        <v>17</v>
      </c>
      <c r="F129" s="18" t="s">
        <v>570</v>
      </c>
      <c r="G129" s="18" t="s">
        <v>24</v>
      </c>
      <c r="H129" s="18" t="s">
        <v>20</v>
      </c>
      <c r="I129" s="19">
        <v>45482</v>
      </c>
      <c r="J129" s="19">
        <v>45897</v>
      </c>
      <c r="K129" s="20">
        <v>112000</v>
      </c>
      <c r="L129" s="52"/>
      <c r="M129" s="18"/>
    </row>
    <row r="130" spans="1:13" x14ac:dyDescent="0.25">
      <c r="A130" s="13">
        <v>11</v>
      </c>
      <c r="B130" s="13" t="s">
        <v>31</v>
      </c>
      <c r="C130" s="13" t="s">
        <v>571</v>
      </c>
      <c r="D130" s="13">
        <v>297746</v>
      </c>
      <c r="E130" s="13" t="s">
        <v>36</v>
      </c>
      <c r="F130" s="13" t="s">
        <v>517</v>
      </c>
      <c r="G130" s="13" t="s">
        <v>19</v>
      </c>
      <c r="H130" s="13" t="s">
        <v>20</v>
      </c>
      <c r="I130" s="14">
        <v>45897</v>
      </c>
      <c r="J130" s="14">
        <v>45898</v>
      </c>
      <c r="K130" s="15">
        <v>28000</v>
      </c>
      <c r="L130" s="53" t="s">
        <v>572</v>
      </c>
      <c r="M130" s="13"/>
    </row>
    <row r="131" spans="1:13" x14ac:dyDescent="0.25">
      <c r="A131" s="13">
        <v>12</v>
      </c>
      <c r="B131" s="18" t="s">
        <v>31</v>
      </c>
      <c r="C131" s="18" t="s">
        <v>573</v>
      </c>
      <c r="D131" s="18">
        <v>297764</v>
      </c>
      <c r="E131" s="18" t="s">
        <v>36</v>
      </c>
      <c r="F131" s="18" t="s">
        <v>139</v>
      </c>
      <c r="G131" s="18" t="s">
        <v>19</v>
      </c>
      <c r="H131" s="18" t="s">
        <v>20</v>
      </c>
      <c r="I131" s="19">
        <v>45521</v>
      </c>
      <c r="J131" s="19">
        <v>45898</v>
      </c>
      <c r="K131" s="20">
        <v>35000</v>
      </c>
      <c r="L131" s="52"/>
      <c r="M131" s="18"/>
    </row>
    <row r="132" spans="1:13" ht="15.75" thickBot="1" x14ac:dyDescent="0.3">
      <c r="A132" s="13">
        <v>13</v>
      </c>
      <c r="B132" s="18" t="s">
        <v>40</v>
      </c>
      <c r="C132" s="18" t="s">
        <v>574</v>
      </c>
      <c r="D132" s="18">
        <v>297873</v>
      </c>
      <c r="E132" s="18" t="s">
        <v>63</v>
      </c>
      <c r="F132" s="18" t="s">
        <v>575</v>
      </c>
      <c r="G132" s="18" t="s">
        <v>19</v>
      </c>
      <c r="H132" s="18" t="s">
        <v>25</v>
      </c>
      <c r="I132" s="19">
        <v>45898</v>
      </c>
      <c r="J132" s="19">
        <v>45898</v>
      </c>
      <c r="K132" s="20">
        <v>500</v>
      </c>
      <c r="L132" s="52"/>
      <c r="M132" s="18"/>
    </row>
    <row r="133" spans="1:13" ht="15.75" thickBot="1" x14ac:dyDescent="0.3">
      <c r="A133" s="185" t="s">
        <v>143</v>
      </c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7"/>
    </row>
    <row r="134" spans="1:13" x14ac:dyDescent="0.25">
      <c r="A134" s="13">
        <v>1</v>
      </c>
      <c r="B134" s="13" t="s">
        <v>380</v>
      </c>
      <c r="C134" s="18" t="s">
        <v>577</v>
      </c>
      <c r="D134" s="13">
        <v>298276</v>
      </c>
      <c r="E134" s="13" t="s">
        <v>63</v>
      </c>
      <c r="F134" s="13" t="s">
        <v>173</v>
      </c>
      <c r="G134" s="13" t="s">
        <v>24</v>
      </c>
      <c r="H134" s="13" t="s">
        <v>25</v>
      </c>
      <c r="I134" s="14">
        <v>45902</v>
      </c>
      <c r="J134" s="14">
        <v>45902</v>
      </c>
      <c r="K134" s="15">
        <v>500</v>
      </c>
      <c r="L134" s="82"/>
      <c r="M134" s="15"/>
    </row>
    <row r="135" spans="1:13" x14ac:dyDescent="0.25">
      <c r="A135" s="13">
        <v>2</v>
      </c>
      <c r="B135" s="13" t="s">
        <v>31</v>
      </c>
      <c r="C135" s="13" t="s">
        <v>578</v>
      </c>
      <c r="D135" s="13">
        <v>298637</v>
      </c>
      <c r="E135" s="13" t="s">
        <v>17</v>
      </c>
      <c r="F135" s="13" t="s">
        <v>45</v>
      </c>
      <c r="G135" s="13" t="s">
        <v>24</v>
      </c>
      <c r="H135" s="13" t="s">
        <v>20</v>
      </c>
      <c r="I135" s="14">
        <v>45905</v>
      </c>
      <c r="J135" s="14">
        <v>45905</v>
      </c>
      <c r="K135" s="15">
        <v>17000</v>
      </c>
      <c r="L135" s="82"/>
      <c r="M135" s="13"/>
    </row>
    <row r="136" spans="1:13" x14ac:dyDescent="0.25">
      <c r="A136" s="13">
        <v>3</v>
      </c>
      <c r="B136" s="13" t="s">
        <v>31</v>
      </c>
      <c r="C136" s="13" t="s">
        <v>579</v>
      </c>
      <c r="D136" s="13">
        <v>298660</v>
      </c>
      <c r="E136" s="13" t="s">
        <v>63</v>
      </c>
      <c r="F136" s="13" t="s">
        <v>146</v>
      </c>
      <c r="G136" s="13" t="s">
        <v>19</v>
      </c>
      <c r="H136" s="13" t="s">
        <v>25</v>
      </c>
      <c r="I136" s="14">
        <v>45905</v>
      </c>
      <c r="J136" s="14">
        <v>45905</v>
      </c>
      <c r="K136" s="15">
        <v>300</v>
      </c>
      <c r="L136" s="53"/>
      <c r="M136" s="13"/>
    </row>
    <row r="137" spans="1:13" x14ac:dyDescent="0.25">
      <c r="A137" s="13">
        <v>4</v>
      </c>
      <c r="B137" s="13" t="s">
        <v>122</v>
      </c>
      <c r="C137" s="13" t="s">
        <v>581</v>
      </c>
      <c r="D137" s="13">
        <v>298928</v>
      </c>
      <c r="E137" s="13" t="s">
        <v>17</v>
      </c>
      <c r="F137" s="13" t="s">
        <v>445</v>
      </c>
      <c r="G137" s="13" t="s">
        <v>19</v>
      </c>
      <c r="H137" s="13" t="s">
        <v>20</v>
      </c>
      <c r="I137" s="14">
        <v>45909</v>
      </c>
      <c r="J137" s="14">
        <v>45909</v>
      </c>
      <c r="K137" s="15">
        <v>40000</v>
      </c>
      <c r="L137" s="53"/>
      <c r="M137" s="13"/>
    </row>
    <row r="138" spans="1:13" x14ac:dyDescent="0.25">
      <c r="A138" s="13">
        <v>5</v>
      </c>
      <c r="B138" s="13" t="s">
        <v>122</v>
      </c>
      <c r="C138" s="13" t="s">
        <v>582</v>
      </c>
      <c r="D138" s="13">
        <v>298940</v>
      </c>
      <c r="E138" s="13" t="s">
        <v>36</v>
      </c>
      <c r="F138" s="13" t="s">
        <v>413</v>
      </c>
      <c r="G138" s="13" t="s">
        <v>19</v>
      </c>
      <c r="H138" s="13" t="s">
        <v>20</v>
      </c>
      <c r="I138" s="14">
        <v>45909</v>
      </c>
      <c r="J138" s="14">
        <v>45909</v>
      </c>
      <c r="K138" s="15">
        <v>21000</v>
      </c>
      <c r="L138" s="53"/>
      <c r="M138" s="13"/>
    </row>
    <row r="139" spans="1:13" x14ac:dyDescent="0.25">
      <c r="A139" s="13">
        <v>6</v>
      </c>
      <c r="B139" s="13" t="s">
        <v>380</v>
      </c>
      <c r="C139" s="13" t="s">
        <v>585</v>
      </c>
      <c r="D139" s="13">
        <v>299688</v>
      </c>
      <c r="E139" s="13" t="s">
        <v>17</v>
      </c>
      <c r="F139" s="13" t="s">
        <v>481</v>
      </c>
      <c r="G139" s="13" t="s">
        <v>19</v>
      </c>
      <c r="H139" s="13" t="s">
        <v>20</v>
      </c>
      <c r="I139" s="14">
        <v>45915</v>
      </c>
      <c r="J139" s="14">
        <v>45915</v>
      </c>
      <c r="K139" s="15">
        <v>24000</v>
      </c>
      <c r="L139" s="53"/>
      <c r="M139" s="13"/>
    </row>
    <row r="140" spans="1:13" x14ac:dyDescent="0.25">
      <c r="A140" s="13">
        <v>7</v>
      </c>
      <c r="B140" s="13" t="s">
        <v>31</v>
      </c>
      <c r="C140" s="13" t="s">
        <v>586</v>
      </c>
      <c r="D140" s="13">
        <v>300216</v>
      </c>
      <c r="E140" s="13" t="s">
        <v>63</v>
      </c>
      <c r="F140" s="13" t="s">
        <v>146</v>
      </c>
      <c r="G140" s="13" t="s">
        <v>19</v>
      </c>
      <c r="H140" s="13" t="s">
        <v>25</v>
      </c>
      <c r="I140" s="14">
        <v>45511</v>
      </c>
      <c r="J140" s="14">
        <v>45919</v>
      </c>
      <c r="K140" s="15">
        <v>205</v>
      </c>
      <c r="L140" s="53"/>
      <c r="M140" s="13"/>
    </row>
    <row r="141" spans="1:13" x14ac:dyDescent="0.25">
      <c r="A141" s="13">
        <v>8</v>
      </c>
      <c r="B141" s="18" t="s">
        <v>31</v>
      </c>
      <c r="C141" s="18" t="s">
        <v>587</v>
      </c>
      <c r="D141" s="18">
        <v>300218</v>
      </c>
      <c r="E141" s="18" t="s">
        <v>36</v>
      </c>
      <c r="F141" s="18" t="s">
        <v>588</v>
      </c>
      <c r="G141" s="18" t="s">
        <v>24</v>
      </c>
      <c r="H141" s="18" t="s">
        <v>20</v>
      </c>
      <c r="I141" s="19">
        <v>45531</v>
      </c>
      <c r="J141" s="19">
        <v>45919</v>
      </c>
      <c r="K141" s="20">
        <v>75000</v>
      </c>
      <c r="L141" s="52" t="s">
        <v>149</v>
      </c>
      <c r="M141" s="18"/>
    </row>
    <row r="142" spans="1:13" x14ac:dyDescent="0.25">
      <c r="A142" s="13">
        <v>9</v>
      </c>
      <c r="B142" s="18" t="s">
        <v>16</v>
      </c>
      <c r="C142" s="18" t="s">
        <v>589</v>
      </c>
      <c r="D142" s="18">
        <v>300288</v>
      </c>
      <c r="E142" s="18" t="s">
        <v>17</v>
      </c>
      <c r="F142" s="18" t="s">
        <v>590</v>
      </c>
      <c r="G142" s="18" t="s">
        <v>19</v>
      </c>
      <c r="H142" s="18" t="s">
        <v>20</v>
      </c>
      <c r="I142" s="19">
        <v>45916</v>
      </c>
      <c r="J142" s="19">
        <v>45922</v>
      </c>
      <c r="K142" s="20">
        <v>28000</v>
      </c>
      <c r="L142" s="52" t="s">
        <v>591</v>
      </c>
      <c r="M142" s="18"/>
    </row>
    <row r="143" spans="1:13" x14ac:dyDescent="0.25">
      <c r="A143" s="13">
        <v>10</v>
      </c>
      <c r="B143" s="18" t="s">
        <v>16</v>
      </c>
      <c r="C143" s="18" t="s">
        <v>592</v>
      </c>
      <c r="D143" s="18">
        <v>300298</v>
      </c>
      <c r="E143" s="18" t="s">
        <v>17</v>
      </c>
      <c r="F143" s="18" t="s">
        <v>593</v>
      </c>
      <c r="G143" s="18" t="s">
        <v>24</v>
      </c>
      <c r="H143" s="18" t="s">
        <v>20</v>
      </c>
      <c r="I143" s="19">
        <v>45920</v>
      </c>
      <c r="J143" s="19">
        <v>45922</v>
      </c>
      <c r="K143" s="20">
        <v>18000</v>
      </c>
      <c r="L143" s="52"/>
      <c r="M143" s="18"/>
    </row>
    <row r="144" spans="1:13" x14ac:dyDescent="0.25">
      <c r="A144" s="13">
        <v>11</v>
      </c>
      <c r="B144" s="13" t="s">
        <v>16</v>
      </c>
      <c r="C144" s="13" t="s">
        <v>594</v>
      </c>
      <c r="D144" s="13">
        <v>300310</v>
      </c>
      <c r="E144" s="13" t="s">
        <v>17</v>
      </c>
      <c r="F144" s="13" t="s">
        <v>593</v>
      </c>
      <c r="G144" s="13" t="s">
        <v>24</v>
      </c>
      <c r="H144" s="13" t="s">
        <v>20</v>
      </c>
      <c r="I144" s="14">
        <v>45918</v>
      </c>
      <c r="J144" s="14">
        <v>45922</v>
      </c>
      <c r="K144" s="15">
        <v>18000</v>
      </c>
      <c r="L144" s="53" t="s">
        <v>199</v>
      </c>
      <c r="M144" s="46" t="s">
        <v>91</v>
      </c>
    </row>
    <row r="145" spans="1:13" x14ac:dyDescent="0.25">
      <c r="A145" s="13">
        <v>12</v>
      </c>
      <c r="B145" s="18" t="s">
        <v>380</v>
      </c>
      <c r="C145" s="18" t="s">
        <v>597</v>
      </c>
      <c r="D145" s="18">
        <v>300544</v>
      </c>
      <c r="E145" s="18" t="s">
        <v>17</v>
      </c>
      <c r="F145" s="18" t="s">
        <v>598</v>
      </c>
      <c r="G145" s="18" t="s">
        <v>19</v>
      </c>
      <c r="H145" s="18" t="s">
        <v>20</v>
      </c>
      <c r="I145" s="19">
        <v>45922</v>
      </c>
      <c r="J145" s="19">
        <v>45923</v>
      </c>
      <c r="K145" s="20">
        <v>21500</v>
      </c>
      <c r="L145" s="52" t="s">
        <v>599</v>
      </c>
      <c r="M145" s="18"/>
    </row>
    <row r="146" spans="1:13" x14ac:dyDescent="0.25">
      <c r="A146" s="13">
        <v>13</v>
      </c>
      <c r="B146" s="18" t="s">
        <v>31</v>
      </c>
      <c r="C146" s="18" t="s">
        <v>577</v>
      </c>
      <c r="D146" s="18">
        <v>300738</v>
      </c>
      <c r="E146" s="18" t="s">
        <v>17</v>
      </c>
      <c r="F146" s="18" t="s">
        <v>600</v>
      </c>
      <c r="G146" s="18" t="s">
        <v>24</v>
      </c>
      <c r="H146" s="18" t="s">
        <v>20</v>
      </c>
      <c r="I146" s="19">
        <v>45923</v>
      </c>
      <c r="J146" s="19">
        <v>45924</v>
      </c>
      <c r="K146" s="20">
        <v>14000</v>
      </c>
      <c r="L146" s="52"/>
      <c r="M146" s="18"/>
    </row>
    <row r="147" spans="1:13" x14ac:dyDescent="0.25">
      <c r="A147" s="13">
        <v>14</v>
      </c>
      <c r="B147" s="18" t="s">
        <v>16</v>
      </c>
      <c r="C147" s="18" t="s">
        <v>578</v>
      </c>
      <c r="D147" s="18">
        <v>300692</v>
      </c>
      <c r="E147" s="18" t="s">
        <v>17</v>
      </c>
      <c r="F147" s="18" t="s">
        <v>43</v>
      </c>
      <c r="G147" s="18" t="s">
        <v>19</v>
      </c>
      <c r="H147" s="18" t="s">
        <v>20</v>
      </c>
      <c r="I147" s="19">
        <v>45924</v>
      </c>
      <c r="J147" s="19">
        <v>45924</v>
      </c>
      <c r="K147" s="20">
        <v>18000</v>
      </c>
      <c r="L147" s="52"/>
      <c r="M147" s="18"/>
    </row>
    <row r="148" spans="1:13" x14ac:dyDescent="0.25">
      <c r="A148" s="13">
        <v>15</v>
      </c>
      <c r="B148" s="13" t="s">
        <v>380</v>
      </c>
      <c r="C148" s="18" t="s">
        <v>579</v>
      </c>
      <c r="D148" s="18">
        <v>300832</v>
      </c>
      <c r="E148" s="18" t="s">
        <v>63</v>
      </c>
      <c r="F148" s="18" t="s">
        <v>601</v>
      </c>
      <c r="G148" s="18" t="s">
        <v>19</v>
      </c>
      <c r="H148" s="18" t="s">
        <v>20</v>
      </c>
      <c r="I148" s="19">
        <v>45925</v>
      </c>
      <c r="J148" s="19">
        <v>45930</v>
      </c>
      <c r="K148" s="20">
        <v>17000</v>
      </c>
      <c r="L148" s="52"/>
      <c r="M148" s="18"/>
    </row>
    <row r="149" spans="1:13" x14ac:dyDescent="0.25">
      <c r="A149" s="13">
        <v>16</v>
      </c>
      <c r="B149" s="18" t="s">
        <v>380</v>
      </c>
      <c r="C149" s="18" t="s">
        <v>581</v>
      </c>
      <c r="D149" s="18">
        <v>300846</v>
      </c>
      <c r="E149" s="18" t="s">
        <v>63</v>
      </c>
      <c r="F149" s="18" t="s">
        <v>602</v>
      </c>
      <c r="G149" s="18" t="s">
        <v>19</v>
      </c>
      <c r="H149" s="18" t="s">
        <v>20</v>
      </c>
      <c r="I149" s="19">
        <v>45925</v>
      </c>
      <c r="J149" s="19">
        <v>45930</v>
      </c>
      <c r="K149" s="20">
        <v>150000</v>
      </c>
      <c r="L149" s="52"/>
      <c r="M149" s="18"/>
    </row>
    <row r="150" spans="1:13" x14ac:dyDescent="0.25">
      <c r="A150" s="18">
        <v>17</v>
      </c>
      <c r="B150" s="18" t="s">
        <v>16</v>
      </c>
      <c r="C150" s="18" t="s">
        <v>582</v>
      </c>
      <c r="D150" s="18">
        <v>301203</v>
      </c>
      <c r="E150" s="18" t="s">
        <v>33</v>
      </c>
      <c r="F150" s="18" t="s">
        <v>603</v>
      </c>
      <c r="G150" s="18" t="s">
        <v>24</v>
      </c>
      <c r="H150" s="18" t="s">
        <v>20</v>
      </c>
      <c r="I150" s="19">
        <v>45923</v>
      </c>
      <c r="J150" s="19">
        <v>45930</v>
      </c>
      <c r="K150" s="20">
        <v>44000</v>
      </c>
      <c r="L150" s="52" t="s">
        <v>604</v>
      </c>
      <c r="M150" s="18"/>
    </row>
    <row r="151" spans="1:13" x14ac:dyDescent="0.25">
      <c r="A151" s="18">
        <v>18</v>
      </c>
      <c r="B151" s="18" t="s">
        <v>380</v>
      </c>
      <c r="C151" s="18" t="s">
        <v>585</v>
      </c>
      <c r="D151" s="18">
        <v>301570</v>
      </c>
      <c r="E151" s="18" t="s">
        <v>63</v>
      </c>
      <c r="F151" s="18" t="s">
        <v>601</v>
      </c>
      <c r="G151" s="18" t="s">
        <v>19</v>
      </c>
      <c r="H151" s="18" t="s">
        <v>20</v>
      </c>
      <c r="I151" s="19">
        <v>45929</v>
      </c>
      <c r="J151" s="19">
        <v>45930</v>
      </c>
      <c r="K151" s="20">
        <v>55000</v>
      </c>
      <c r="L151" s="52"/>
      <c r="M151" s="18"/>
    </row>
    <row r="152" spans="1:13" x14ac:dyDescent="0.25">
      <c r="A152" s="18">
        <v>19</v>
      </c>
      <c r="B152" s="18" t="s">
        <v>380</v>
      </c>
      <c r="C152" s="18" t="s">
        <v>586</v>
      </c>
      <c r="D152" s="18">
        <v>301593</v>
      </c>
      <c r="E152" s="18" t="s">
        <v>63</v>
      </c>
      <c r="F152" s="18" t="s">
        <v>601</v>
      </c>
      <c r="G152" s="18" t="s">
        <v>19</v>
      </c>
      <c r="H152" s="18" t="s">
        <v>25</v>
      </c>
      <c r="I152" s="19">
        <v>45929</v>
      </c>
      <c r="J152" s="19">
        <v>45930</v>
      </c>
      <c r="K152" s="20">
        <v>450</v>
      </c>
      <c r="L152" s="52"/>
      <c r="M152" s="18"/>
    </row>
    <row r="153" spans="1:13" x14ac:dyDescent="0.25">
      <c r="A153" s="18">
        <v>20</v>
      </c>
      <c r="B153" s="18" t="s">
        <v>380</v>
      </c>
      <c r="C153" s="18" t="s">
        <v>605</v>
      </c>
      <c r="D153" s="18">
        <v>301654</v>
      </c>
      <c r="E153" s="18" t="s">
        <v>63</v>
      </c>
      <c r="F153" s="18" t="s">
        <v>601</v>
      </c>
      <c r="G153" s="18" t="s">
        <v>19</v>
      </c>
      <c r="H153" s="18" t="s">
        <v>20</v>
      </c>
      <c r="I153" s="19">
        <v>45929</v>
      </c>
      <c r="J153" s="19">
        <v>45930</v>
      </c>
      <c r="K153" s="20">
        <v>55000</v>
      </c>
      <c r="L153" s="52"/>
      <c r="M153" s="18"/>
    </row>
    <row r="154" spans="1:13" x14ac:dyDescent="0.25">
      <c r="A154" s="18">
        <v>21</v>
      </c>
      <c r="B154" s="18" t="s">
        <v>380</v>
      </c>
      <c r="C154" s="18" t="s">
        <v>606</v>
      </c>
      <c r="D154" s="18">
        <v>301698</v>
      </c>
      <c r="E154" s="18" t="s">
        <v>63</v>
      </c>
      <c r="F154" s="18" t="s">
        <v>601</v>
      </c>
      <c r="G154" s="18" t="s">
        <v>19</v>
      </c>
      <c r="H154" s="18" t="s">
        <v>25</v>
      </c>
      <c r="I154" s="19">
        <v>45929</v>
      </c>
      <c r="J154" s="19">
        <v>45930</v>
      </c>
      <c r="K154" s="20">
        <v>600</v>
      </c>
      <c r="L154" s="52"/>
      <c r="M154" s="18"/>
    </row>
    <row r="155" spans="1:13" ht="15.75" thickBot="1" x14ac:dyDescent="0.3">
      <c r="A155" s="18">
        <v>22</v>
      </c>
      <c r="B155" s="18" t="s">
        <v>40</v>
      </c>
      <c r="C155" s="18" t="s">
        <v>587</v>
      </c>
      <c r="D155" s="18">
        <v>301786</v>
      </c>
      <c r="E155" s="18" t="s">
        <v>63</v>
      </c>
      <c r="F155" s="18" t="s">
        <v>607</v>
      </c>
      <c r="G155" s="18" t="s">
        <v>19</v>
      </c>
      <c r="H155" s="18" t="s">
        <v>20</v>
      </c>
      <c r="I155" s="14">
        <v>45922</v>
      </c>
      <c r="J155" s="14">
        <v>45930</v>
      </c>
      <c r="K155" s="20">
        <v>23000</v>
      </c>
      <c r="L155" s="53"/>
      <c r="M155" s="13"/>
    </row>
    <row r="156" spans="1:13" ht="15.75" thickBot="1" x14ac:dyDescent="0.3">
      <c r="A156" s="185" t="s">
        <v>163</v>
      </c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7"/>
    </row>
    <row r="157" spans="1:13" x14ac:dyDescent="0.25">
      <c r="A157" s="13">
        <v>1</v>
      </c>
      <c r="B157" s="13" t="s">
        <v>16</v>
      </c>
      <c r="C157" s="18" t="s">
        <v>589</v>
      </c>
      <c r="D157" s="13">
        <v>302082</v>
      </c>
      <c r="E157" s="13" t="s">
        <v>17</v>
      </c>
      <c r="F157" s="13" t="s">
        <v>610</v>
      </c>
      <c r="G157" s="13" t="s">
        <v>19</v>
      </c>
      <c r="H157" s="13" t="s">
        <v>20</v>
      </c>
      <c r="I157" s="14">
        <v>45930</v>
      </c>
      <c r="J157" s="14">
        <v>45938</v>
      </c>
      <c r="K157" s="15">
        <v>15000</v>
      </c>
      <c r="L157" s="82"/>
      <c r="M157" s="15"/>
    </row>
    <row r="158" spans="1:13" x14ac:dyDescent="0.25">
      <c r="A158" s="13">
        <v>2</v>
      </c>
      <c r="B158" s="13" t="s">
        <v>380</v>
      </c>
      <c r="C158" s="13" t="s">
        <v>592</v>
      </c>
      <c r="D158" s="13">
        <v>302688</v>
      </c>
      <c r="E158" s="13" t="s">
        <v>36</v>
      </c>
      <c r="F158" s="13" t="s">
        <v>611</v>
      </c>
      <c r="G158" s="13" t="s">
        <v>19</v>
      </c>
      <c r="H158" s="13" t="s">
        <v>20</v>
      </c>
      <c r="I158" s="14">
        <v>45939</v>
      </c>
      <c r="J158" s="14">
        <v>45943</v>
      </c>
      <c r="K158" s="15">
        <v>35000</v>
      </c>
      <c r="L158" s="82"/>
      <c r="M158" s="13"/>
    </row>
    <row r="159" spans="1:13" x14ac:dyDescent="0.25">
      <c r="A159" s="13">
        <v>3</v>
      </c>
      <c r="B159" s="13" t="s">
        <v>31</v>
      </c>
      <c r="C159" s="13" t="s">
        <v>594</v>
      </c>
      <c r="D159" s="13">
        <v>302913</v>
      </c>
      <c r="E159" s="13" t="s">
        <v>17</v>
      </c>
      <c r="F159" s="13" t="s">
        <v>612</v>
      </c>
      <c r="G159" s="13" t="s">
        <v>19</v>
      </c>
      <c r="H159" s="13" t="s">
        <v>20</v>
      </c>
      <c r="I159" s="14">
        <v>45549</v>
      </c>
      <c r="J159" s="14">
        <v>45943</v>
      </c>
      <c r="K159" s="15">
        <v>36000</v>
      </c>
      <c r="L159" s="53" t="s">
        <v>160</v>
      </c>
      <c r="M159" s="13"/>
    </row>
    <row r="160" spans="1:13" x14ac:dyDescent="0.25">
      <c r="A160" s="13">
        <v>4</v>
      </c>
      <c r="B160" s="13" t="s">
        <v>16</v>
      </c>
      <c r="C160" s="13" t="s">
        <v>597</v>
      </c>
      <c r="D160" s="13">
        <v>305081</v>
      </c>
      <c r="E160" s="13" t="s">
        <v>17</v>
      </c>
      <c r="F160" s="13" t="s">
        <v>618</v>
      </c>
      <c r="G160" s="13" t="s">
        <v>19</v>
      </c>
      <c r="H160" s="13" t="s">
        <v>20</v>
      </c>
      <c r="I160" s="14">
        <v>45957</v>
      </c>
      <c r="J160" s="14">
        <v>45959</v>
      </c>
      <c r="K160" s="15">
        <v>29000</v>
      </c>
      <c r="L160" s="53" t="s">
        <v>619</v>
      </c>
      <c r="M160" s="13"/>
    </row>
    <row r="161" spans="1:13" ht="15.75" thickBot="1" x14ac:dyDescent="0.3">
      <c r="A161" s="13">
        <v>5</v>
      </c>
      <c r="B161" s="13" t="s">
        <v>40</v>
      </c>
      <c r="C161" s="13" t="s">
        <v>620</v>
      </c>
      <c r="D161" s="13">
        <v>305412</v>
      </c>
      <c r="E161" s="13" t="s">
        <v>93</v>
      </c>
      <c r="F161" s="13" t="s">
        <v>621</v>
      </c>
      <c r="G161" s="13" t="s">
        <v>19</v>
      </c>
      <c r="H161" s="13" t="s">
        <v>20</v>
      </c>
      <c r="I161" s="14">
        <v>45960</v>
      </c>
      <c r="J161" s="14">
        <v>45960</v>
      </c>
      <c r="K161" s="15">
        <v>40000</v>
      </c>
      <c r="L161" s="53"/>
      <c r="M161" s="13"/>
    </row>
    <row r="162" spans="1:13" ht="15.75" thickBot="1" x14ac:dyDescent="0.3">
      <c r="A162" s="185" t="s">
        <v>176</v>
      </c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7"/>
    </row>
    <row r="163" spans="1:13" x14ac:dyDescent="0.25">
      <c r="A163" s="13">
        <v>1</v>
      </c>
      <c r="B163" s="13" t="s">
        <v>380</v>
      </c>
      <c r="C163" s="13" t="s">
        <v>625</v>
      </c>
      <c r="D163" s="13">
        <v>305890</v>
      </c>
      <c r="E163" s="13" t="s">
        <v>36</v>
      </c>
      <c r="F163" s="13" t="s">
        <v>624</v>
      </c>
      <c r="G163" s="13" t="s">
        <v>24</v>
      </c>
      <c r="H163" s="13" t="s">
        <v>20</v>
      </c>
      <c r="I163" s="14">
        <v>45964</v>
      </c>
      <c r="J163" s="14">
        <v>45964</v>
      </c>
      <c r="K163" s="15">
        <v>45000</v>
      </c>
      <c r="L163" s="82"/>
      <c r="M163" s="15"/>
    </row>
    <row r="164" spans="1:13" x14ac:dyDescent="0.25">
      <c r="A164" s="13">
        <v>2</v>
      </c>
      <c r="B164" s="13" t="s">
        <v>31</v>
      </c>
      <c r="C164" s="13" t="s">
        <v>626</v>
      </c>
      <c r="D164" s="13">
        <v>305910</v>
      </c>
      <c r="E164" s="13" t="s">
        <v>17</v>
      </c>
      <c r="F164" s="13" t="s">
        <v>622</v>
      </c>
      <c r="G164" s="13" t="s">
        <v>19</v>
      </c>
      <c r="H164" s="13" t="s">
        <v>20</v>
      </c>
      <c r="I164" s="14">
        <v>45958</v>
      </c>
      <c r="J164" s="14">
        <v>45964</v>
      </c>
      <c r="K164" s="15">
        <v>30000</v>
      </c>
      <c r="L164" s="82"/>
      <c r="M164" s="13"/>
    </row>
    <row r="165" spans="1:13" x14ac:dyDescent="0.25">
      <c r="A165" s="13">
        <v>3</v>
      </c>
      <c r="B165" s="13" t="s">
        <v>31</v>
      </c>
      <c r="C165" s="13" t="s">
        <v>627</v>
      </c>
      <c r="D165" s="13">
        <v>305990</v>
      </c>
      <c r="E165" s="13" t="s">
        <v>36</v>
      </c>
      <c r="F165" s="13" t="s">
        <v>623</v>
      </c>
      <c r="G165" s="13" t="s">
        <v>19</v>
      </c>
      <c r="H165" s="13" t="s">
        <v>20</v>
      </c>
      <c r="I165" s="14">
        <v>45586</v>
      </c>
      <c r="J165" s="14">
        <v>45964</v>
      </c>
      <c r="K165" s="15">
        <v>20000</v>
      </c>
      <c r="L165" s="53" t="s">
        <v>628</v>
      </c>
      <c r="M165" s="13"/>
    </row>
    <row r="166" spans="1:13" x14ac:dyDescent="0.25">
      <c r="A166" s="13">
        <v>4</v>
      </c>
      <c r="B166" s="13" t="s">
        <v>40</v>
      </c>
      <c r="C166" s="13" t="s">
        <v>629</v>
      </c>
      <c r="D166" s="13">
        <v>306118</v>
      </c>
      <c r="E166" s="13" t="s">
        <v>36</v>
      </c>
      <c r="F166" s="13" t="s">
        <v>630</v>
      </c>
      <c r="G166" s="13" t="s">
        <v>19</v>
      </c>
      <c r="H166" s="13" t="s">
        <v>20</v>
      </c>
      <c r="I166" s="14">
        <v>45961</v>
      </c>
      <c r="J166" s="14">
        <v>45965</v>
      </c>
      <c r="K166" s="15">
        <v>45000</v>
      </c>
      <c r="L166" s="53"/>
      <c r="M166" s="13"/>
    </row>
    <row r="167" spans="1:13" x14ac:dyDescent="0.25">
      <c r="A167" s="13">
        <v>5</v>
      </c>
      <c r="B167" s="13" t="s">
        <v>380</v>
      </c>
      <c r="C167" s="13" t="s">
        <v>638</v>
      </c>
      <c r="D167" s="13">
        <v>306345</v>
      </c>
      <c r="E167" s="13" t="s">
        <v>17</v>
      </c>
      <c r="F167" s="13" t="s">
        <v>639</v>
      </c>
      <c r="G167" s="13" t="s">
        <v>19</v>
      </c>
      <c r="H167" s="13" t="s">
        <v>20</v>
      </c>
      <c r="I167" s="14">
        <v>45967</v>
      </c>
      <c r="J167" s="14">
        <v>45967</v>
      </c>
      <c r="K167" s="15">
        <v>21000</v>
      </c>
      <c r="L167" s="53"/>
      <c r="M167" s="13"/>
    </row>
    <row r="168" spans="1:13" x14ac:dyDescent="0.25">
      <c r="A168" s="13">
        <v>6</v>
      </c>
      <c r="B168" s="13" t="s">
        <v>380</v>
      </c>
      <c r="C168" s="13" t="s">
        <v>643</v>
      </c>
      <c r="D168" s="13">
        <v>306887</v>
      </c>
      <c r="E168" s="13" t="s">
        <v>33</v>
      </c>
      <c r="F168" s="13" t="s">
        <v>644</v>
      </c>
      <c r="G168" s="13" t="s">
        <v>24</v>
      </c>
      <c r="H168" s="13" t="s">
        <v>20</v>
      </c>
      <c r="I168" s="14">
        <v>45970</v>
      </c>
      <c r="J168" s="14">
        <v>45972</v>
      </c>
      <c r="K168" s="15">
        <v>180000</v>
      </c>
      <c r="L168" s="53"/>
      <c r="M168" s="13"/>
    </row>
    <row r="169" spans="1:13" x14ac:dyDescent="0.25">
      <c r="A169" s="13">
        <v>7</v>
      </c>
      <c r="B169" s="13" t="s">
        <v>380</v>
      </c>
      <c r="C169" s="13" t="s">
        <v>645</v>
      </c>
      <c r="D169" s="13">
        <v>306900</v>
      </c>
      <c r="E169" s="13" t="s">
        <v>17</v>
      </c>
      <c r="F169" s="13" t="s">
        <v>646</v>
      </c>
      <c r="G169" s="13" t="s">
        <v>24</v>
      </c>
      <c r="H169" s="13" t="s">
        <v>20</v>
      </c>
      <c r="I169" s="14">
        <v>45970</v>
      </c>
      <c r="J169" s="14">
        <v>45972</v>
      </c>
      <c r="K169" s="15">
        <v>68000</v>
      </c>
      <c r="L169" s="53"/>
      <c r="M169" s="13"/>
    </row>
    <row r="170" spans="1:13" x14ac:dyDescent="0.25">
      <c r="A170" s="13">
        <v>8</v>
      </c>
      <c r="B170" s="18" t="s">
        <v>380</v>
      </c>
      <c r="C170" s="18" t="s">
        <v>647</v>
      </c>
      <c r="D170" s="18">
        <v>306916</v>
      </c>
      <c r="E170" s="18" t="s">
        <v>93</v>
      </c>
      <c r="F170" s="18" t="s">
        <v>648</v>
      </c>
      <c r="G170" s="18" t="s">
        <v>24</v>
      </c>
      <c r="H170" s="18" t="s">
        <v>20</v>
      </c>
      <c r="I170" s="19">
        <v>45970</v>
      </c>
      <c r="J170" s="19">
        <v>45972</v>
      </c>
      <c r="K170" s="20">
        <v>50000</v>
      </c>
      <c r="L170" s="52"/>
      <c r="M170" s="18"/>
    </row>
    <row r="171" spans="1:13" x14ac:dyDescent="0.25">
      <c r="A171" s="13">
        <v>9</v>
      </c>
      <c r="B171" s="18" t="s">
        <v>380</v>
      </c>
      <c r="C171" s="18" t="s">
        <v>649</v>
      </c>
      <c r="D171" s="18">
        <v>306925</v>
      </c>
      <c r="E171" s="18" t="s">
        <v>93</v>
      </c>
      <c r="F171" s="18" t="s">
        <v>648</v>
      </c>
      <c r="G171" s="18" t="s">
        <v>24</v>
      </c>
      <c r="H171" s="18" t="s">
        <v>20</v>
      </c>
      <c r="I171" s="19">
        <v>45970</v>
      </c>
      <c r="J171" s="19">
        <v>45972</v>
      </c>
      <c r="K171" s="20">
        <v>30000</v>
      </c>
      <c r="L171" s="52"/>
      <c r="M171" s="18"/>
    </row>
    <row r="172" spans="1:13" x14ac:dyDescent="0.25">
      <c r="A172" s="13">
        <v>10</v>
      </c>
      <c r="B172" s="18" t="s">
        <v>380</v>
      </c>
      <c r="C172" s="18" t="s">
        <v>651</v>
      </c>
      <c r="D172" s="18">
        <v>306934</v>
      </c>
      <c r="E172" s="18" t="s">
        <v>93</v>
      </c>
      <c r="F172" s="18" t="s">
        <v>648</v>
      </c>
      <c r="G172" s="18" t="s">
        <v>24</v>
      </c>
      <c r="H172" s="18" t="s">
        <v>20</v>
      </c>
      <c r="I172" s="19">
        <v>45970</v>
      </c>
      <c r="J172" s="19">
        <v>45972</v>
      </c>
      <c r="K172" s="20">
        <v>20000</v>
      </c>
      <c r="L172" s="52"/>
      <c r="M172" s="18"/>
    </row>
    <row r="173" spans="1:13" x14ac:dyDescent="0.25">
      <c r="A173" s="13">
        <v>11</v>
      </c>
      <c r="B173" s="13" t="s">
        <v>380</v>
      </c>
      <c r="C173" s="13" t="s">
        <v>650</v>
      </c>
      <c r="D173" s="13">
        <v>306939</v>
      </c>
      <c r="E173" s="13" t="s">
        <v>42</v>
      </c>
      <c r="F173" s="13" t="s">
        <v>653</v>
      </c>
      <c r="G173" s="13" t="s">
        <v>24</v>
      </c>
      <c r="H173" s="13" t="s">
        <v>20</v>
      </c>
      <c r="I173" s="14">
        <v>45970</v>
      </c>
      <c r="J173" s="14">
        <v>45973</v>
      </c>
      <c r="K173" s="15">
        <v>180000</v>
      </c>
      <c r="L173" s="53" t="s">
        <v>656</v>
      </c>
      <c r="M173" s="13"/>
    </row>
    <row r="174" spans="1:13" x14ac:dyDescent="0.25">
      <c r="A174" s="13">
        <v>12</v>
      </c>
      <c r="B174" s="18" t="s">
        <v>380</v>
      </c>
      <c r="C174" s="18" t="s">
        <v>652</v>
      </c>
      <c r="D174" s="18">
        <v>306949</v>
      </c>
      <c r="E174" s="18" t="s">
        <v>654</v>
      </c>
      <c r="F174" s="18" t="s">
        <v>655</v>
      </c>
      <c r="G174" s="18" t="s">
        <v>24</v>
      </c>
      <c r="H174" s="18" t="s">
        <v>20</v>
      </c>
      <c r="I174" s="19">
        <v>45970</v>
      </c>
      <c r="J174" s="19">
        <v>45973</v>
      </c>
      <c r="K174" s="20">
        <v>480000</v>
      </c>
      <c r="L174" s="52"/>
      <c r="M174" s="18"/>
    </row>
    <row r="175" spans="1:13" x14ac:dyDescent="0.25">
      <c r="A175" s="13">
        <v>13</v>
      </c>
      <c r="B175" s="18" t="s">
        <v>16</v>
      </c>
      <c r="C175" s="18" t="s">
        <v>660</v>
      </c>
      <c r="D175" s="18">
        <v>307279</v>
      </c>
      <c r="E175" s="18" t="s">
        <v>17</v>
      </c>
      <c r="F175" s="18" t="s">
        <v>662</v>
      </c>
      <c r="G175" s="18" t="s">
        <v>19</v>
      </c>
      <c r="H175" s="18" t="s">
        <v>20</v>
      </c>
      <c r="I175" s="19">
        <v>45975</v>
      </c>
      <c r="J175" s="19">
        <v>45975</v>
      </c>
      <c r="K175" s="20">
        <v>18000</v>
      </c>
      <c r="L175" s="52" t="s">
        <v>663</v>
      </c>
      <c r="M175" s="18"/>
    </row>
    <row r="176" spans="1:13" x14ac:dyDescent="0.25">
      <c r="A176" s="13">
        <v>14</v>
      </c>
      <c r="B176" s="18" t="s">
        <v>380</v>
      </c>
      <c r="C176" s="18" t="s">
        <v>661</v>
      </c>
      <c r="D176" s="18">
        <v>307284</v>
      </c>
      <c r="E176" s="18" t="s">
        <v>93</v>
      </c>
      <c r="F176" s="18" t="s">
        <v>664</v>
      </c>
      <c r="G176" s="18" t="s">
        <v>24</v>
      </c>
      <c r="H176" s="18" t="s">
        <v>20</v>
      </c>
      <c r="I176" s="19">
        <v>45970</v>
      </c>
      <c r="J176" s="19">
        <v>45975</v>
      </c>
      <c r="K176" s="20">
        <v>148000</v>
      </c>
      <c r="L176" s="52" t="s">
        <v>656</v>
      </c>
      <c r="M176" s="18"/>
    </row>
    <row r="177" spans="1:13" x14ac:dyDescent="0.25">
      <c r="A177" s="13">
        <v>15</v>
      </c>
      <c r="B177" s="18" t="s">
        <v>380</v>
      </c>
      <c r="C177" s="18" t="s">
        <v>629</v>
      </c>
      <c r="D177" s="18">
        <v>307291</v>
      </c>
      <c r="E177" s="18" t="s">
        <v>93</v>
      </c>
      <c r="F177" s="18" t="s">
        <v>665</v>
      </c>
      <c r="G177" s="18" t="s">
        <v>24</v>
      </c>
      <c r="H177" s="18" t="s">
        <v>20</v>
      </c>
      <c r="I177" s="19">
        <v>45970</v>
      </c>
      <c r="J177" s="19">
        <v>45975</v>
      </c>
      <c r="K177" s="20">
        <v>450000</v>
      </c>
      <c r="L177" s="52" t="s">
        <v>656</v>
      </c>
      <c r="M177" s="18"/>
    </row>
    <row r="178" spans="1:13" x14ac:dyDescent="0.25">
      <c r="A178" s="13">
        <v>16</v>
      </c>
      <c r="B178" s="18" t="s">
        <v>380</v>
      </c>
      <c r="C178" s="18" t="s">
        <v>638</v>
      </c>
      <c r="D178" s="18">
        <v>307295</v>
      </c>
      <c r="E178" s="18" t="s">
        <v>93</v>
      </c>
      <c r="F178" s="18" t="s">
        <v>666</v>
      </c>
      <c r="G178" s="18" t="s">
        <v>19</v>
      </c>
      <c r="H178" s="18" t="s">
        <v>20</v>
      </c>
      <c r="I178" s="19">
        <v>45967</v>
      </c>
      <c r="J178" s="19">
        <v>45975</v>
      </c>
      <c r="K178" s="20">
        <v>25000</v>
      </c>
      <c r="L178" s="52" t="s">
        <v>667</v>
      </c>
      <c r="M178" s="18"/>
    </row>
    <row r="179" spans="1:13" x14ac:dyDescent="0.25">
      <c r="A179" s="18">
        <v>17</v>
      </c>
      <c r="B179" s="18" t="s">
        <v>16</v>
      </c>
      <c r="C179" s="18" t="s">
        <v>643</v>
      </c>
      <c r="D179" s="18">
        <v>307320</v>
      </c>
      <c r="E179" s="18" t="s">
        <v>17</v>
      </c>
      <c r="F179" s="18" t="s">
        <v>77</v>
      </c>
      <c r="G179" s="18" t="s">
        <v>19</v>
      </c>
      <c r="H179" s="18" t="s">
        <v>20</v>
      </c>
      <c r="I179" s="19">
        <v>45975</v>
      </c>
      <c r="J179" s="19">
        <v>45975</v>
      </c>
      <c r="K179" s="20">
        <v>48000</v>
      </c>
      <c r="L179" s="52"/>
      <c r="M179" s="18"/>
    </row>
    <row r="180" spans="1:13" x14ac:dyDescent="0.25">
      <c r="A180" s="18">
        <v>18</v>
      </c>
      <c r="B180" s="18" t="s">
        <v>40</v>
      </c>
      <c r="C180" s="18" t="s">
        <v>645</v>
      </c>
      <c r="D180" s="18">
        <v>307747</v>
      </c>
      <c r="E180" s="18" t="s">
        <v>17</v>
      </c>
      <c r="F180" s="18" t="s">
        <v>668</v>
      </c>
      <c r="G180" s="18" t="s">
        <v>24</v>
      </c>
      <c r="H180" s="18" t="s">
        <v>20</v>
      </c>
      <c r="I180" s="19"/>
      <c r="J180" s="19">
        <v>45980</v>
      </c>
      <c r="K180" s="20">
        <v>25000</v>
      </c>
      <c r="L180" s="52"/>
      <c r="M180" s="18"/>
    </row>
    <row r="181" spans="1:13" x14ac:dyDescent="0.25">
      <c r="A181" s="18">
        <v>19</v>
      </c>
      <c r="B181" s="18" t="s">
        <v>31</v>
      </c>
      <c r="C181" s="18" t="s">
        <v>647</v>
      </c>
      <c r="D181" s="18">
        <v>307738</v>
      </c>
      <c r="E181" s="18" t="s">
        <v>669</v>
      </c>
      <c r="F181" s="18" t="s">
        <v>670</v>
      </c>
      <c r="G181" s="18" t="s">
        <v>24</v>
      </c>
      <c r="H181" s="18" t="s">
        <v>20</v>
      </c>
      <c r="I181" s="19"/>
      <c r="J181" s="19">
        <v>45980</v>
      </c>
      <c r="K181" s="20">
        <v>450000</v>
      </c>
      <c r="L181" s="52" t="s">
        <v>671</v>
      </c>
      <c r="M181" s="18"/>
    </row>
    <row r="182" spans="1:13" x14ac:dyDescent="0.25">
      <c r="A182" s="18">
        <v>20</v>
      </c>
      <c r="B182" s="18" t="s">
        <v>16</v>
      </c>
      <c r="C182" s="18" t="s">
        <v>649</v>
      </c>
      <c r="D182" s="18">
        <v>308065</v>
      </c>
      <c r="E182" s="18" t="s">
        <v>17</v>
      </c>
      <c r="F182" s="18" t="s">
        <v>673</v>
      </c>
      <c r="G182" s="18" t="s">
        <v>19</v>
      </c>
      <c r="H182" s="18" t="s">
        <v>20</v>
      </c>
      <c r="I182" s="19">
        <v>45983</v>
      </c>
      <c r="J182" s="19">
        <v>45986</v>
      </c>
      <c r="K182" s="20">
        <v>36500</v>
      </c>
      <c r="L182" s="52"/>
      <c r="M182" s="18"/>
    </row>
    <row r="183" spans="1:13" x14ac:dyDescent="0.25">
      <c r="A183" s="18">
        <v>21</v>
      </c>
      <c r="B183" s="18" t="s">
        <v>16</v>
      </c>
      <c r="C183" s="18" t="s">
        <v>651</v>
      </c>
      <c r="D183" s="18">
        <v>308449</v>
      </c>
      <c r="E183" s="18" t="s">
        <v>674</v>
      </c>
      <c r="F183" s="18" t="s">
        <v>676</v>
      </c>
      <c r="G183" s="18" t="s">
        <v>24</v>
      </c>
      <c r="H183" s="18" t="s">
        <v>20</v>
      </c>
      <c r="I183" s="19">
        <v>45986</v>
      </c>
      <c r="J183" s="19">
        <v>45988</v>
      </c>
      <c r="K183" s="20">
        <v>47000</v>
      </c>
      <c r="L183" s="52"/>
      <c r="M183" s="18"/>
    </row>
    <row r="184" spans="1:13" ht="15.75" thickBot="1" x14ac:dyDescent="0.3">
      <c r="A184" s="18">
        <v>22</v>
      </c>
      <c r="B184" s="18" t="s">
        <v>16</v>
      </c>
      <c r="C184" s="18" t="s">
        <v>650</v>
      </c>
      <c r="D184" s="18">
        <v>308479</v>
      </c>
      <c r="E184" s="18" t="s">
        <v>674</v>
      </c>
      <c r="F184" s="18" t="s">
        <v>675</v>
      </c>
      <c r="G184" s="18" t="s">
        <v>24</v>
      </c>
      <c r="H184" s="18" t="s">
        <v>20</v>
      </c>
      <c r="I184" s="14">
        <v>45986</v>
      </c>
      <c r="J184" s="14">
        <v>45988</v>
      </c>
      <c r="K184" s="20">
        <v>47500</v>
      </c>
      <c r="L184" s="53"/>
      <c r="M184" s="13"/>
    </row>
    <row r="185" spans="1:13" ht="15.75" thickBot="1" x14ac:dyDescent="0.3">
      <c r="A185" s="185" t="s">
        <v>191</v>
      </c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7"/>
    </row>
    <row r="186" spans="1:13" x14ac:dyDescent="0.25">
      <c r="A186" s="13">
        <v>1</v>
      </c>
      <c r="B186" s="13" t="s">
        <v>472</v>
      </c>
      <c r="C186" s="18" t="s">
        <v>652</v>
      </c>
      <c r="D186" s="13">
        <v>309465</v>
      </c>
      <c r="E186" s="13" t="s">
        <v>63</v>
      </c>
      <c r="F186" s="13" t="s">
        <v>684</v>
      </c>
      <c r="G186" s="13" t="s">
        <v>24</v>
      </c>
      <c r="H186" s="13" t="s">
        <v>25</v>
      </c>
      <c r="I186" s="14">
        <v>45994</v>
      </c>
      <c r="J186" s="14">
        <v>45995</v>
      </c>
      <c r="K186" s="15">
        <v>650</v>
      </c>
      <c r="L186" s="82"/>
      <c r="M186" s="15"/>
    </row>
    <row r="187" spans="1:13" x14ac:dyDescent="0.25">
      <c r="A187" s="13">
        <v>2</v>
      </c>
      <c r="B187" s="13" t="s">
        <v>31</v>
      </c>
      <c r="C187" s="13" t="s">
        <v>660</v>
      </c>
      <c r="D187" s="13">
        <v>309727</v>
      </c>
      <c r="E187" s="13" t="s">
        <v>36</v>
      </c>
      <c r="F187" s="13" t="s">
        <v>382</v>
      </c>
      <c r="G187" s="13" t="s">
        <v>19</v>
      </c>
      <c r="H187" s="13" t="s">
        <v>20</v>
      </c>
      <c r="I187" s="14">
        <v>45994</v>
      </c>
      <c r="J187" s="14">
        <v>45996</v>
      </c>
      <c r="K187" s="15">
        <v>27000</v>
      </c>
      <c r="L187" s="82"/>
      <c r="M187" s="13"/>
    </row>
    <row r="188" spans="1:13" x14ac:dyDescent="0.25">
      <c r="A188" s="13">
        <v>3</v>
      </c>
      <c r="B188" s="13" t="s">
        <v>472</v>
      </c>
      <c r="C188" s="13" t="s">
        <v>661</v>
      </c>
      <c r="D188" s="13">
        <v>309808</v>
      </c>
      <c r="E188" s="13" t="s">
        <v>63</v>
      </c>
      <c r="F188" s="13" t="s">
        <v>685</v>
      </c>
      <c r="G188" s="13" t="s">
        <v>24</v>
      </c>
      <c r="H188" s="13" t="s">
        <v>25</v>
      </c>
      <c r="I188" s="14">
        <v>45994</v>
      </c>
      <c r="J188" s="14">
        <v>45999</v>
      </c>
      <c r="K188" s="15">
        <v>1350</v>
      </c>
      <c r="L188" s="53"/>
      <c r="M188" s="13"/>
    </row>
    <row r="189" spans="1:13" x14ac:dyDescent="0.25">
      <c r="A189" s="13">
        <v>4</v>
      </c>
      <c r="B189" s="13" t="s">
        <v>16</v>
      </c>
      <c r="C189" s="13" t="s">
        <v>686</v>
      </c>
      <c r="D189" s="13">
        <v>309793</v>
      </c>
      <c r="E189" s="13" t="s">
        <v>101</v>
      </c>
      <c r="F189" s="13" t="s">
        <v>235</v>
      </c>
      <c r="G189" s="13" t="s">
        <v>19</v>
      </c>
      <c r="H189" s="13" t="s">
        <v>20</v>
      </c>
      <c r="I189" s="14">
        <v>45993</v>
      </c>
      <c r="J189" s="14">
        <v>45999</v>
      </c>
      <c r="K189" s="15">
        <v>17000</v>
      </c>
      <c r="L189" s="53"/>
      <c r="M189" s="13"/>
    </row>
    <row r="190" spans="1:13" x14ac:dyDescent="0.25">
      <c r="A190" s="13">
        <v>5</v>
      </c>
      <c r="B190" s="13" t="s">
        <v>472</v>
      </c>
      <c r="C190" s="13" t="s">
        <v>687</v>
      </c>
      <c r="D190" s="13">
        <v>310280</v>
      </c>
      <c r="E190" s="13" t="s">
        <v>63</v>
      </c>
      <c r="F190" s="13" t="s">
        <v>404</v>
      </c>
      <c r="G190" s="13" t="s">
        <v>19</v>
      </c>
      <c r="H190" s="13" t="s">
        <v>25</v>
      </c>
      <c r="I190" s="14">
        <v>46001</v>
      </c>
      <c r="J190" s="14">
        <v>46002</v>
      </c>
      <c r="K190" s="15">
        <v>600</v>
      </c>
      <c r="L190" s="53"/>
      <c r="M190" s="13"/>
    </row>
    <row r="191" spans="1:13" x14ac:dyDescent="0.25">
      <c r="A191" s="13">
        <v>6</v>
      </c>
      <c r="B191" s="13" t="s">
        <v>31</v>
      </c>
      <c r="C191" s="13" t="s">
        <v>592</v>
      </c>
      <c r="D191" s="13">
        <v>310341</v>
      </c>
      <c r="E191" s="13" t="s">
        <v>17</v>
      </c>
      <c r="F191" s="13" t="s">
        <v>688</v>
      </c>
      <c r="G191" s="13" t="s">
        <v>24</v>
      </c>
      <c r="H191" s="13" t="s">
        <v>20</v>
      </c>
      <c r="I191" s="14">
        <v>45997</v>
      </c>
      <c r="J191" s="14">
        <v>46003</v>
      </c>
      <c r="K191" s="15">
        <v>24000</v>
      </c>
      <c r="L191" s="53"/>
      <c r="M191" s="13"/>
    </row>
    <row r="192" spans="1:13" x14ac:dyDescent="0.25">
      <c r="A192" s="13"/>
      <c r="B192" s="13"/>
      <c r="C192" s="13"/>
      <c r="D192" s="13"/>
      <c r="E192" s="13"/>
      <c r="F192" s="13"/>
      <c r="G192" s="13"/>
      <c r="H192" s="13"/>
      <c r="I192" s="14"/>
      <c r="J192" s="14"/>
      <c r="K192" s="15"/>
      <c r="L192" s="53"/>
      <c r="M192" s="13"/>
    </row>
  </sheetData>
  <autoFilter ref="A6:M185" xr:uid="{4970DE82-8210-4407-AF82-F6A22C88A0E8}"/>
  <mergeCells count="13">
    <mergeCell ref="A185:M185"/>
    <mergeCell ref="A162:M162"/>
    <mergeCell ref="A156:M156"/>
    <mergeCell ref="B3:K3"/>
    <mergeCell ref="A7:M7"/>
    <mergeCell ref="A14:M14"/>
    <mergeCell ref="A25:M25"/>
    <mergeCell ref="A47:M47"/>
    <mergeCell ref="A133:M133"/>
    <mergeCell ref="A119:M119"/>
    <mergeCell ref="A99:M99"/>
    <mergeCell ref="A83:M83"/>
    <mergeCell ref="A63:M63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3A73-7898-4873-B50F-8116EF2C6CED}">
  <sheetPr>
    <tabColor theme="9" tint="0.79998168889431442"/>
  </sheetPr>
  <dimension ref="B2:E86"/>
  <sheetViews>
    <sheetView topLeftCell="A64" workbookViewId="0">
      <selection activeCell="C82" sqref="C82:D84"/>
    </sheetView>
  </sheetViews>
  <sheetFormatPr baseColWidth="10" defaultRowHeight="15" x14ac:dyDescent="0.25"/>
  <cols>
    <col min="2" max="2" width="6.42578125" customWidth="1"/>
    <col min="3" max="3" width="19.42578125" customWidth="1"/>
    <col min="4" max="4" width="14" customWidth="1"/>
    <col min="5" max="5" width="14.42578125" customWidth="1"/>
  </cols>
  <sheetData>
    <row r="2" spans="2:5" x14ac:dyDescent="0.25">
      <c r="B2" s="67"/>
      <c r="C2" s="67"/>
      <c r="D2" s="67"/>
      <c r="E2" s="67"/>
    </row>
    <row r="3" spans="2:5" x14ac:dyDescent="0.25">
      <c r="B3" s="67"/>
      <c r="C3" s="67"/>
      <c r="D3" s="67"/>
      <c r="E3" s="67"/>
    </row>
    <row r="4" spans="2:5" x14ac:dyDescent="0.25">
      <c r="B4" s="67"/>
      <c r="C4" s="67"/>
      <c r="D4" s="67"/>
      <c r="E4" s="67"/>
    </row>
    <row r="5" spans="2:5" x14ac:dyDescent="0.25">
      <c r="B5" s="67"/>
      <c r="C5" s="67"/>
      <c r="D5" s="67"/>
      <c r="E5" s="67"/>
    </row>
    <row r="6" spans="2:5" ht="15.75" thickBot="1" x14ac:dyDescent="0.3">
      <c r="B6" s="67"/>
      <c r="C6" s="67"/>
      <c r="D6" s="67"/>
      <c r="E6" s="67"/>
    </row>
    <row r="7" spans="2:5" ht="30.75" thickBot="1" x14ac:dyDescent="0.3">
      <c r="B7" s="68" t="s">
        <v>2</v>
      </c>
      <c r="C7" s="69" t="s">
        <v>3</v>
      </c>
      <c r="D7" s="69" t="s">
        <v>200</v>
      </c>
      <c r="E7" s="67"/>
    </row>
    <row r="8" spans="2:5" ht="15.75" thickBot="1" x14ac:dyDescent="0.3">
      <c r="B8" s="189" t="s">
        <v>15</v>
      </c>
      <c r="C8" s="190"/>
      <c r="D8" s="191"/>
      <c r="E8" s="67"/>
    </row>
    <row r="9" spans="2:5" x14ac:dyDescent="0.25">
      <c r="B9" s="70">
        <v>1</v>
      </c>
      <c r="C9" s="36" t="s">
        <v>16</v>
      </c>
      <c r="D9" s="70">
        <v>1</v>
      </c>
      <c r="E9" s="67"/>
    </row>
    <row r="10" spans="2:5" x14ac:dyDescent="0.25">
      <c r="B10" s="46">
        <v>2</v>
      </c>
      <c r="C10" s="13" t="s">
        <v>40</v>
      </c>
      <c r="D10" s="46">
        <v>1</v>
      </c>
      <c r="E10" s="67"/>
    </row>
    <row r="11" spans="2:5" x14ac:dyDescent="0.25">
      <c r="B11" s="46">
        <v>3</v>
      </c>
      <c r="C11" s="13" t="s">
        <v>31</v>
      </c>
      <c r="D11" s="46">
        <v>4</v>
      </c>
      <c r="E11" s="67"/>
    </row>
    <row r="12" spans="2:5" x14ac:dyDescent="0.25">
      <c r="B12" s="192" t="s">
        <v>201</v>
      </c>
      <c r="C12" s="192"/>
      <c r="D12" s="192"/>
      <c r="E12" s="71">
        <f>SUM(D9:D11)</f>
        <v>6</v>
      </c>
    </row>
    <row r="13" spans="2:5" ht="15.75" thickBot="1" x14ac:dyDescent="0.3">
      <c r="B13" s="189" t="s">
        <v>51</v>
      </c>
      <c r="C13" s="190"/>
      <c r="D13" s="191"/>
      <c r="E13" s="67"/>
    </row>
    <row r="14" spans="2:5" x14ac:dyDescent="0.25">
      <c r="B14" s="70">
        <v>1</v>
      </c>
      <c r="C14" s="36" t="s">
        <v>16</v>
      </c>
      <c r="D14" s="70">
        <v>9</v>
      </c>
      <c r="E14" s="67"/>
    </row>
    <row r="15" spans="2:5" x14ac:dyDescent="0.25">
      <c r="B15" s="46">
        <v>2</v>
      </c>
      <c r="C15" s="13" t="s">
        <v>40</v>
      </c>
      <c r="D15" s="46">
        <v>1</v>
      </c>
      <c r="E15" s="67"/>
    </row>
    <row r="16" spans="2:5" x14ac:dyDescent="0.25">
      <c r="B16" s="192" t="s">
        <v>201</v>
      </c>
      <c r="C16" s="192"/>
      <c r="D16" s="192"/>
      <c r="E16" s="71">
        <f>SUM(D14:D15)</f>
        <v>10</v>
      </c>
    </row>
    <row r="17" spans="2:5" ht="15.75" thickBot="1" x14ac:dyDescent="0.3">
      <c r="B17" s="189" t="s">
        <v>66</v>
      </c>
      <c r="C17" s="190"/>
      <c r="D17" s="191"/>
      <c r="E17" s="67"/>
    </row>
    <row r="18" spans="2:5" x14ac:dyDescent="0.25">
      <c r="B18" s="70">
        <v>1</v>
      </c>
      <c r="C18" s="36" t="s">
        <v>40</v>
      </c>
      <c r="D18" s="70">
        <v>7</v>
      </c>
      <c r="E18" s="67"/>
    </row>
    <row r="19" spans="2:5" x14ac:dyDescent="0.25">
      <c r="B19" s="46">
        <v>2</v>
      </c>
      <c r="C19" s="13" t="s">
        <v>16</v>
      </c>
      <c r="D19" s="46">
        <v>8</v>
      </c>
      <c r="E19" s="67"/>
    </row>
    <row r="20" spans="2:5" x14ac:dyDescent="0.25">
      <c r="B20" s="46">
        <v>3</v>
      </c>
      <c r="C20" s="13" t="s">
        <v>31</v>
      </c>
      <c r="D20" s="46">
        <v>4</v>
      </c>
      <c r="E20" s="67"/>
    </row>
    <row r="21" spans="2:5" x14ac:dyDescent="0.25">
      <c r="B21" s="46">
        <v>4</v>
      </c>
      <c r="C21" s="13" t="s">
        <v>122</v>
      </c>
      <c r="D21" s="46">
        <v>2</v>
      </c>
      <c r="E21" s="67"/>
    </row>
    <row r="22" spans="2:5" x14ac:dyDescent="0.25">
      <c r="B22" s="192" t="s">
        <v>201</v>
      </c>
      <c r="C22" s="192"/>
      <c r="D22" s="192"/>
      <c r="E22" s="71">
        <f>SUM(D18:D21)</f>
        <v>21</v>
      </c>
    </row>
    <row r="23" spans="2:5" ht="15.75" thickBot="1" x14ac:dyDescent="0.3">
      <c r="B23" s="189" t="s">
        <v>71</v>
      </c>
      <c r="C23" s="190"/>
      <c r="D23" s="191"/>
      <c r="E23" s="67"/>
    </row>
    <row r="24" spans="2:5" x14ac:dyDescent="0.25">
      <c r="B24" s="70">
        <v>1</v>
      </c>
      <c r="C24" s="36" t="s">
        <v>31</v>
      </c>
      <c r="D24" s="70">
        <v>2</v>
      </c>
      <c r="E24" s="67"/>
    </row>
    <row r="25" spans="2:5" x14ac:dyDescent="0.25">
      <c r="B25" s="46">
        <v>2</v>
      </c>
      <c r="C25" s="13" t="s">
        <v>16</v>
      </c>
      <c r="D25" s="46">
        <v>4</v>
      </c>
      <c r="E25" s="67"/>
    </row>
    <row r="26" spans="2:5" x14ac:dyDescent="0.25">
      <c r="B26" s="46">
        <v>3</v>
      </c>
      <c r="C26" s="13" t="s">
        <v>378</v>
      </c>
      <c r="D26" s="46">
        <v>2</v>
      </c>
      <c r="E26" s="67"/>
    </row>
    <row r="27" spans="2:5" x14ac:dyDescent="0.25">
      <c r="B27" s="46">
        <v>4</v>
      </c>
      <c r="C27" s="13" t="s">
        <v>380</v>
      </c>
      <c r="D27" s="46">
        <v>4</v>
      </c>
      <c r="E27" s="67"/>
    </row>
    <row r="28" spans="2:5" x14ac:dyDescent="0.25">
      <c r="B28" s="46">
        <v>5</v>
      </c>
      <c r="C28" s="13" t="s">
        <v>387</v>
      </c>
      <c r="D28" s="46">
        <v>2</v>
      </c>
      <c r="E28" s="67"/>
    </row>
    <row r="29" spans="2:5" x14ac:dyDescent="0.25">
      <c r="B29" s="46">
        <v>6</v>
      </c>
      <c r="C29" s="13" t="s">
        <v>40</v>
      </c>
      <c r="D29" s="46">
        <v>1</v>
      </c>
      <c r="E29" s="67"/>
    </row>
    <row r="30" spans="2:5" x14ac:dyDescent="0.25">
      <c r="B30" s="192" t="s">
        <v>201</v>
      </c>
      <c r="C30" s="192"/>
      <c r="D30" s="192"/>
      <c r="E30" s="71">
        <f>SUM(D24:D29)</f>
        <v>15</v>
      </c>
    </row>
    <row r="31" spans="2:5" ht="15.75" thickBot="1" x14ac:dyDescent="0.3">
      <c r="B31" s="189" t="s">
        <v>87</v>
      </c>
      <c r="C31" s="190"/>
      <c r="D31" s="191"/>
      <c r="E31" s="67"/>
    </row>
    <row r="32" spans="2:5" x14ac:dyDescent="0.25">
      <c r="B32" s="70">
        <v>1</v>
      </c>
      <c r="C32" s="36" t="s">
        <v>380</v>
      </c>
      <c r="D32" s="70">
        <v>4</v>
      </c>
      <c r="E32" s="67"/>
    </row>
    <row r="33" spans="2:5" x14ac:dyDescent="0.25">
      <c r="B33" s="46">
        <v>2</v>
      </c>
      <c r="C33" s="13" t="s">
        <v>16</v>
      </c>
      <c r="D33" s="46">
        <v>5</v>
      </c>
      <c r="E33" s="67"/>
    </row>
    <row r="34" spans="2:5" x14ac:dyDescent="0.25">
      <c r="B34" s="46">
        <v>3</v>
      </c>
      <c r="C34" s="13" t="s">
        <v>387</v>
      </c>
      <c r="D34" s="46">
        <v>2</v>
      </c>
      <c r="E34" s="67"/>
    </row>
    <row r="35" spans="2:5" x14ac:dyDescent="0.25">
      <c r="B35" s="46">
        <v>4</v>
      </c>
      <c r="C35" s="13" t="s">
        <v>122</v>
      </c>
      <c r="D35" s="46">
        <v>3</v>
      </c>
      <c r="E35" s="67"/>
    </row>
    <row r="36" spans="2:5" x14ac:dyDescent="0.25">
      <c r="B36" s="46">
        <v>5</v>
      </c>
      <c r="C36" s="13" t="s">
        <v>378</v>
      </c>
      <c r="D36" s="46">
        <v>1</v>
      </c>
      <c r="E36" s="67"/>
    </row>
    <row r="37" spans="2:5" x14ac:dyDescent="0.25">
      <c r="B37" s="46">
        <v>6</v>
      </c>
      <c r="C37" s="13" t="s">
        <v>31</v>
      </c>
      <c r="D37" s="46">
        <v>4</v>
      </c>
      <c r="E37" s="67"/>
    </row>
    <row r="38" spans="2:5" x14ac:dyDescent="0.25">
      <c r="B38" s="192" t="s">
        <v>201</v>
      </c>
      <c r="C38" s="192"/>
      <c r="D38" s="192"/>
      <c r="E38" s="71">
        <f>SUM(D32:D37)</f>
        <v>19</v>
      </c>
    </row>
    <row r="39" spans="2:5" ht="15.75" thickBot="1" x14ac:dyDescent="0.3">
      <c r="B39" s="189" t="s">
        <v>97</v>
      </c>
      <c r="C39" s="190"/>
      <c r="D39" s="191"/>
      <c r="E39" s="67"/>
    </row>
    <row r="40" spans="2:5" x14ac:dyDescent="0.25">
      <c r="B40" s="70">
        <v>1</v>
      </c>
      <c r="C40" s="36" t="s">
        <v>31</v>
      </c>
      <c r="D40" s="70">
        <v>5</v>
      </c>
      <c r="E40" s="67"/>
    </row>
    <row r="41" spans="2:5" x14ac:dyDescent="0.25">
      <c r="B41" s="46">
        <v>2</v>
      </c>
      <c r="C41" s="13" t="s">
        <v>16</v>
      </c>
      <c r="D41" s="46">
        <v>5</v>
      </c>
      <c r="E41" s="67"/>
    </row>
    <row r="42" spans="2:5" x14ac:dyDescent="0.25">
      <c r="B42" s="46">
        <v>3</v>
      </c>
      <c r="C42" s="13" t="s">
        <v>380</v>
      </c>
      <c r="D42" s="46">
        <v>2</v>
      </c>
      <c r="E42" s="67"/>
    </row>
    <row r="43" spans="2:5" x14ac:dyDescent="0.25">
      <c r="B43" s="46">
        <v>4</v>
      </c>
      <c r="C43" s="13" t="s">
        <v>387</v>
      </c>
      <c r="D43" s="46">
        <v>1</v>
      </c>
      <c r="E43" s="67"/>
    </row>
    <row r="44" spans="2:5" x14ac:dyDescent="0.25">
      <c r="B44" s="46">
        <v>5</v>
      </c>
      <c r="C44" s="13" t="s">
        <v>40</v>
      </c>
      <c r="D44" s="46">
        <v>2</v>
      </c>
      <c r="E44" s="67"/>
    </row>
    <row r="45" spans="2:5" x14ac:dyDescent="0.25">
      <c r="B45" s="46">
        <v>6</v>
      </c>
      <c r="C45" s="13"/>
      <c r="D45" s="46"/>
      <c r="E45" s="67"/>
    </row>
    <row r="46" spans="2:5" x14ac:dyDescent="0.25">
      <c r="B46" s="192" t="s">
        <v>201</v>
      </c>
      <c r="C46" s="192"/>
      <c r="D46" s="192"/>
      <c r="E46" s="71">
        <f>SUM(D40:D45)</f>
        <v>15</v>
      </c>
    </row>
    <row r="47" spans="2:5" ht="15.75" thickBot="1" x14ac:dyDescent="0.3">
      <c r="B47" s="189" t="s">
        <v>116</v>
      </c>
      <c r="C47" s="190"/>
      <c r="D47" s="191"/>
      <c r="E47" s="67"/>
    </row>
    <row r="48" spans="2:5" x14ac:dyDescent="0.25">
      <c r="B48" s="70">
        <v>1</v>
      </c>
      <c r="C48" s="36" t="s">
        <v>40</v>
      </c>
      <c r="D48" s="70">
        <v>1</v>
      </c>
      <c r="E48" s="67"/>
    </row>
    <row r="49" spans="2:5" x14ac:dyDescent="0.25">
      <c r="B49" s="46">
        <v>2</v>
      </c>
      <c r="C49" s="13" t="s">
        <v>31</v>
      </c>
      <c r="D49" s="46">
        <v>3</v>
      </c>
      <c r="E49" s="67"/>
    </row>
    <row r="50" spans="2:5" x14ac:dyDescent="0.25">
      <c r="B50" s="46">
        <v>3</v>
      </c>
      <c r="C50" s="13" t="s">
        <v>380</v>
      </c>
      <c r="D50" s="46">
        <v>12</v>
      </c>
      <c r="E50" s="67"/>
    </row>
    <row r="51" spans="2:5" x14ac:dyDescent="0.25">
      <c r="B51" s="46">
        <v>4</v>
      </c>
      <c r="C51" s="13" t="s">
        <v>16</v>
      </c>
      <c r="D51" s="46">
        <v>5</v>
      </c>
      <c r="E51" s="67"/>
    </row>
    <row r="52" spans="2:5" x14ac:dyDescent="0.25">
      <c r="B52" s="46">
        <v>5</v>
      </c>
      <c r="C52" s="13" t="s">
        <v>387</v>
      </c>
      <c r="D52" s="46">
        <v>1</v>
      </c>
      <c r="E52" s="67"/>
    </row>
    <row r="53" spans="2:5" x14ac:dyDescent="0.25">
      <c r="B53" s="46">
        <v>6</v>
      </c>
      <c r="C53" s="13"/>
      <c r="D53" s="46"/>
      <c r="E53" s="67"/>
    </row>
    <row r="54" spans="2:5" x14ac:dyDescent="0.25">
      <c r="B54" s="192" t="s">
        <v>201</v>
      </c>
      <c r="C54" s="192"/>
      <c r="D54" s="192"/>
      <c r="E54" s="71">
        <f>SUM(D48:D53)</f>
        <v>22</v>
      </c>
    </row>
    <row r="55" spans="2:5" ht="15.75" thickBot="1" x14ac:dyDescent="0.3">
      <c r="B55" s="189" t="s">
        <v>130</v>
      </c>
      <c r="C55" s="190"/>
      <c r="D55" s="191"/>
      <c r="E55" s="67"/>
    </row>
    <row r="56" spans="2:5" x14ac:dyDescent="0.25">
      <c r="B56" s="70">
        <v>1</v>
      </c>
      <c r="C56" s="36" t="s">
        <v>380</v>
      </c>
      <c r="D56" s="70">
        <v>5</v>
      </c>
      <c r="E56" s="67"/>
    </row>
    <row r="57" spans="2:5" x14ac:dyDescent="0.25">
      <c r="B57" s="46">
        <v>2</v>
      </c>
      <c r="C57" s="13" t="s">
        <v>40</v>
      </c>
      <c r="D57" s="46">
        <v>3</v>
      </c>
      <c r="E57" s="67"/>
    </row>
    <row r="58" spans="2:5" x14ac:dyDescent="0.25">
      <c r="B58" s="46">
        <v>3</v>
      </c>
      <c r="C58" s="13" t="s">
        <v>16</v>
      </c>
      <c r="D58" s="46">
        <v>3</v>
      </c>
      <c r="E58" s="67"/>
    </row>
    <row r="59" spans="2:5" x14ac:dyDescent="0.25">
      <c r="B59" s="46">
        <v>4</v>
      </c>
      <c r="C59" s="13" t="s">
        <v>31</v>
      </c>
      <c r="D59" s="46">
        <v>2</v>
      </c>
      <c r="E59" s="67"/>
    </row>
    <row r="60" spans="2:5" x14ac:dyDescent="0.25">
      <c r="B60" s="192" t="s">
        <v>201</v>
      </c>
      <c r="C60" s="192"/>
      <c r="D60" s="192"/>
      <c r="E60" s="71">
        <f>SUM(D56:D59)</f>
        <v>13</v>
      </c>
    </row>
    <row r="61" spans="2:5" ht="15.75" thickBot="1" x14ac:dyDescent="0.3">
      <c r="B61" s="189" t="s">
        <v>143</v>
      </c>
      <c r="C61" s="190"/>
      <c r="D61" s="191"/>
      <c r="E61" s="67"/>
    </row>
    <row r="62" spans="2:5" x14ac:dyDescent="0.25">
      <c r="B62" s="70">
        <v>1</v>
      </c>
      <c r="C62" s="36" t="s">
        <v>380</v>
      </c>
      <c r="D62" s="70">
        <v>9</v>
      </c>
      <c r="E62" s="67"/>
    </row>
    <row r="63" spans="2:5" x14ac:dyDescent="0.25">
      <c r="B63" s="46">
        <v>2</v>
      </c>
      <c r="C63" s="13" t="s">
        <v>40</v>
      </c>
      <c r="D63" s="46">
        <v>1</v>
      </c>
      <c r="E63" s="67"/>
    </row>
    <row r="64" spans="2:5" x14ac:dyDescent="0.25">
      <c r="B64" s="46">
        <v>3</v>
      </c>
      <c r="C64" s="13" t="s">
        <v>122</v>
      </c>
      <c r="D64" s="46">
        <v>2</v>
      </c>
      <c r="E64" s="67"/>
    </row>
    <row r="65" spans="2:5" x14ac:dyDescent="0.25">
      <c r="B65" s="46">
        <v>4</v>
      </c>
      <c r="C65" s="13" t="s">
        <v>31</v>
      </c>
      <c r="D65" s="46">
        <v>5</v>
      </c>
      <c r="E65" s="67"/>
    </row>
    <row r="66" spans="2:5" x14ac:dyDescent="0.25">
      <c r="B66" s="46">
        <v>5</v>
      </c>
      <c r="C66" s="13" t="s">
        <v>16</v>
      </c>
      <c r="D66" s="46">
        <v>5</v>
      </c>
      <c r="E66" s="67"/>
    </row>
    <row r="67" spans="2:5" x14ac:dyDescent="0.25">
      <c r="B67" s="192" t="s">
        <v>201</v>
      </c>
      <c r="C67" s="192"/>
      <c r="D67" s="192"/>
      <c r="E67" s="71">
        <f>SUM(D62:D66)</f>
        <v>22</v>
      </c>
    </row>
    <row r="68" spans="2:5" ht="15.75" thickBot="1" x14ac:dyDescent="0.3">
      <c r="B68" s="189" t="s">
        <v>163</v>
      </c>
      <c r="C68" s="190"/>
      <c r="D68" s="191"/>
      <c r="E68" s="67"/>
    </row>
    <row r="69" spans="2:5" x14ac:dyDescent="0.25">
      <c r="B69" s="70">
        <v>1</v>
      </c>
      <c r="C69" s="36" t="s">
        <v>16</v>
      </c>
      <c r="D69" s="70">
        <v>2</v>
      </c>
      <c r="E69" s="67"/>
    </row>
    <row r="70" spans="2:5" x14ac:dyDescent="0.25">
      <c r="B70" s="46">
        <v>2</v>
      </c>
      <c r="C70" s="13" t="s">
        <v>380</v>
      </c>
      <c r="D70" s="46">
        <v>1</v>
      </c>
      <c r="E70" s="67"/>
    </row>
    <row r="71" spans="2:5" x14ac:dyDescent="0.25">
      <c r="B71" s="46">
        <v>3</v>
      </c>
      <c r="C71" s="13" t="s">
        <v>31</v>
      </c>
      <c r="D71" s="46">
        <v>1</v>
      </c>
      <c r="E71" s="67"/>
    </row>
    <row r="72" spans="2:5" x14ac:dyDescent="0.25">
      <c r="B72" s="46">
        <v>4</v>
      </c>
      <c r="C72" s="13" t="s">
        <v>40</v>
      </c>
      <c r="D72" s="46">
        <v>1</v>
      </c>
      <c r="E72" s="67"/>
    </row>
    <row r="73" spans="2:5" x14ac:dyDescent="0.25">
      <c r="B73" s="46">
        <v>5</v>
      </c>
      <c r="C73" s="13"/>
      <c r="D73" s="46"/>
      <c r="E73" s="67"/>
    </row>
    <row r="74" spans="2:5" x14ac:dyDescent="0.25">
      <c r="B74" s="192" t="s">
        <v>201</v>
      </c>
      <c r="C74" s="192"/>
      <c r="D74" s="192"/>
      <c r="E74" s="71">
        <f>SUM(D69:D73)</f>
        <v>5</v>
      </c>
    </row>
    <row r="75" spans="2:5" ht="15.75" thickBot="1" x14ac:dyDescent="0.3">
      <c r="B75" s="189" t="s">
        <v>176</v>
      </c>
      <c r="C75" s="190"/>
      <c r="D75" s="191"/>
      <c r="E75" s="67"/>
    </row>
    <row r="76" spans="2:5" x14ac:dyDescent="0.25">
      <c r="B76" s="70">
        <v>1</v>
      </c>
      <c r="C76" s="36" t="s">
        <v>380</v>
      </c>
      <c r="D76" s="70">
        <v>12</v>
      </c>
      <c r="E76" s="67"/>
    </row>
    <row r="77" spans="2:5" x14ac:dyDescent="0.25">
      <c r="B77" s="46">
        <v>2</v>
      </c>
      <c r="C77" s="13" t="s">
        <v>31</v>
      </c>
      <c r="D77" s="46">
        <v>3</v>
      </c>
      <c r="E77" s="67"/>
    </row>
    <row r="78" spans="2:5" x14ac:dyDescent="0.25">
      <c r="B78" s="46">
        <v>3</v>
      </c>
      <c r="C78" s="13" t="s">
        <v>40</v>
      </c>
      <c r="D78" s="46">
        <v>2</v>
      </c>
      <c r="E78" s="67"/>
    </row>
    <row r="79" spans="2:5" x14ac:dyDescent="0.25">
      <c r="B79" s="46">
        <v>4</v>
      </c>
      <c r="C79" s="13" t="s">
        <v>16</v>
      </c>
      <c r="D79" s="46">
        <v>5</v>
      </c>
      <c r="E79" s="67"/>
    </row>
    <row r="80" spans="2:5" x14ac:dyDescent="0.25">
      <c r="B80" s="192" t="s">
        <v>201</v>
      </c>
      <c r="C80" s="192"/>
      <c r="D80" s="192"/>
      <c r="E80" s="71">
        <f>SUM(D76:D79)</f>
        <v>22</v>
      </c>
    </row>
    <row r="81" spans="2:5" ht="15.75" thickBot="1" x14ac:dyDescent="0.3">
      <c r="B81" s="189" t="s">
        <v>191</v>
      </c>
      <c r="C81" s="190"/>
      <c r="D81" s="191"/>
      <c r="E81" s="67"/>
    </row>
    <row r="82" spans="2:5" x14ac:dyDescent="0.25">
      <c r="B82" s="70">
        <v>1</v>
      </c>
      <c r="C82" s="36" t="s">
        <v>40</v>
      </c>
      <c r="D82" s="70">
        <v>3</v>
      </c>
      <c r="E82" s="67"/>
    </row>
    <row r="83" spans="2:5" x14ac:dyDescent="0.25">
      <c r="B83" s="46">
        <v>2</v>
      </c>
      <c r="C83" s="13" t="s">
        <v>31</v>
      </c>
      <c r="D83" s="46">
        <v>2</v>
      </c>
      <c r="E83" s="67"/>
    </row>
    <row r="84" spans="2:5" x14ac:dyDescent="0.25">
      <c r="B84" s="46">
        <v>3</v>
      </c>
      <c r="C84" s="13" t="s">
        <v>16</v>
      </c>
      <c r="D84" s="46">
        <v>1</v>
      </c>
      <c r="E84" s="67"/>
    </row>
    <row r="85" spans="2:5" x14ac:dyDescent="0.25">
      <c r="B85" s="46">
        <v>4</v>
      </c>
      <c r="C85" s="13"/>
      <c r="D85" s="46"/>
      <c r="E85" s="67"/>
    </row>
    <row r="86" spans="2:5" x14ac:dyDescent="0.25">
      <c r="B86" s="192" t="s">
        <v>201</v>
      </c>
      <c r="C86" s="192"/>
      <c r="D86" s="192"/>
      <c r="E86" s="71">
        <f>SUM(D82:D85)</f>
        <v>6</v>
      </c>
    </row>
  </sheetData>
  <mergeCells count="24">
    <mergeCell ref="B61:D61"/>
    <mergeCell ref="B67:D67"/>
    <mergeCell ref="B55:D55"/>
    <mergeCell ref="B8:D8"/>
    <mergeCell ref="B12:D12"/>
    <mergeCell ref="B13:D13"/>
    <mergeCell ref="B16:D16"/>
    <mergeCell ref="B17:D17"/>
    <mergeCell ref="B81:D81"/>
    <mergeCell ref="B86:D86"/>
    <mergeCell ref="B22:D22"/>
    <mergeCell ref="B47:D47"/>
    <mergeCell ref="B54:D54"/>
    <mergeCell ref="B39:D39"/>
    <mergeCell ref="B46:D46"/>
    <mergeCell ref="B31:D31"/>
    <mergeCell ref="B38:D38"/>
    <mergeCell ref="B75:D75"/>
    <mergeCell ref="B80:D80"/>
    <mergeCell ref="B60:D60"/>
    <mergeCell ref="B23:D23"/>
    <mergeCell ref="B30:D30"/>
    <mergeCell ref="B68:D68"/>
    <mergeCell ref="B74:D7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045F-4BBE-44AA-822C-F9073E25DF84}">
  <sheetPr>
    <tabColor theme="4" tint="0.79998168889431442"/>
  </sheetPr>
  <dimension ref="A1:P92"/>
  <sheetViews>
    <sheetView topLeftCell="A40" zoomScale="80" zoomScaleNormal="80" workbookViewId="0">
      <selection activeCell="B63" sqref="B63:F63"/>
    </sheetView>
  </sheetViews>
  <sheetFormatPr baseColWidth="10" defaultRowHeight="15" x14ac:dyDescent="0.25"/>
  <cols>
    <col min="1" max="1" width="6.7109375" customWidth="1"/>
    <col min="2" max="2" width="19.42578125" customWidth="1"/>
    <col min="3" max="3" width="14.140625" customWidth="1"/>
    <col min="4" max="4" width="12.42578125" customWidth="1"/>
    <col min="5" max="5" width="21.85546875" customWidth="1"/>
    <col min="6" max="6" width="40.5703125" bestFit="1" customWidth="1"/>
    <col min="7" max="7" width="9.28515625" customWidth="1"/>
    <col min="8" max="8" width="8" customWidth="1"/>
    <col min="9" max="9" width="18.42578125" customWidth="1"/>
    <col min="10" max="10" width="17" customWidth="1"/>
    <col min="11" max="11" width="20" customWidth="1"/>
    <col min="12" max="14" width="17.7109375" customWidth="1"/>
    <col min="15" max="15" width="31.5703125" customWidth="1"/>
    <col min="16" max="16" width="37.85546875" customWidth="1"/>
  </cols>
  <sheetData>
    <row r="1" spans="1:16" x14ac:dyDescent="0.25">
      <c r="A1" s="90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90"/>
      <c r="B2" s="5"/>
      <c r="C2" s="5"/>
      <c r="D2" s="72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5.75" x14ac:dyDescent="0.25">
      <c r="A3" s="90"/>
      <c r="B3" s="196" t="s">
        <v>202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91"/>
      <c r="N3" s="73"/>
      <c r="O3" s="5"/>
      <c r="P3" s="5"/>
    </row>
    <row r="4" spans="1:16" x14ac:dyDescent="0.25">
      <c r="A4" s="90"/>
      <c r="B4" s="5"/>
      <c r="C4" s="5"/>
      <c r="D4" s="5"/>
      <c r="E4" s="5"/>
      <c r="F4" s="5" t="s">
        <v>1</v>
      </c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.75" thickBot="1" x14ac:dyDescent="0.3">
      <c r="A5" s="90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32.25" thickBot="1" x14ac:dyDescent="0.3">
      <c r="A6" s="74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203</v>
      </c>
      <c r="J6" s="9" t="s">
        <v>12</v>
      </c>
      <c r="K6" s="94" t="s">
        <v>204</v>
      </c>
      <c r="L6" s="9" t="s">
        <v>205</v>
      </c>
      <c r="M6" s="9" t="s">
        <v>206</v>
      </c>
      <c r="N6" s="9" t="s">
        <v>207</v>
      </c>
      <c r="O6" s="9" t="s">
        <v>13</v>
      </c>
      <c r="P6" s="75" t="s">
        <v>14</v>
      </c>
    </row>
    <row r="7" spans="1:16" ht="16.5" thickBot="1" x14ac:dyDescent="0.3">
      <c r="A7" s="193" t="s">
        <v>209</v>
      </c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5"/>
    </row>
    <row r="8" spans="1:16" x14ac:dyDescent="0.25">
      <c r="A8" s="36">
        <v>1</v>
      </c>
      <c r="B8" s="95" t="s">
        <v>16</v>
      </c>
      <c r="C8" s="95" t="s">
        <v>107</v>
      </c>
      <c r="D8" s="95">
        <v>220966</v>
      </c>
      <c r="E8" s="95" t="s">
        <v>17</v>
      </c>
      <c r="F8" s="95" t="s">
        <v>108</v>
      </c>
      <c r="G8" s="95" t="s">
        <v>19</v>
      </c>
      <c r="H8" s="95" t="s">
        <v>20</v>
      </c>
      <c r="I8" s="96">
        <v>45455</v>
      </c>
      <c r="J8" s="97">
        <v>12500</v>
      </c>
      <c r="K8" s="96">
        <v>45532</v>
      </c>
      <c r="L8" s="97">
        <v>12200</v>
      </c>
      <c r="M8" s="97">
        <v>200</v>
      </c>
      <c r="N8" s="97">
        <v>200</v>
      </c>
      <c r="O8" s="95"/>
      <c r="P8" s="98" t="s">
        <v>208</v>
      </c>
    </row>
    <row r="9" spans="1:16" ht="15.75" x14ac:dyDescent="0.25">
      <c r="A9" s="76">
        <v>2</v>
      </c>
      <c r="B9" s="87" t="s">
        <v>16</v>
      </c>
      <c r="C9" s="87" t="s">
        <v>157</v>
      </c>
      <c r="D9" s="87">
        <v>253871</v>
      </c>
      <c r="E9" s="87" t="s">
        <v>17</v>
      </c>
      <c r="F9" s="87" t="s">
        <v>50</v>
      </c>
      <c r="G9" s="87" t="s">
        <v>19</v>
      </c>
      <c r="H9" s="87" t="s">
        <v>20</v>
      </c>
      <c r="I9" s="88">
        <v>45518</v>
      </c>
      <c r="J9" s="89">
        <v>15000</v>
      </c>
      <c r="K9" s="88">
        <v>45563</v>
      </c>
      <c r="L9" s="89">
        <v>15000</v>
      </c>
      <c r="M9" s="89">
        <v>1000</v>
      </c>
      <c r="N9" s="89">
        <v>200</v>
      </c>
      <c r="O9" s="13"/>
      <c r="P9" s="50"/>
    </row>
    <row r="10" spans="1:16" s="92" customFormat="1" x14ac:dyDescent="0.25">
      <c r="A10" s="99">
        <v>2</v>
      </c>
      <c r="B10" s="133" t="s">
        <v>16</v>
      </c>
      <c r="C10" s="133" t="s">
        <v>88</v>
      </c>
      <c r="D10" s="133">
        <v>236790</v>
      </c>
      <c r="E10" s="133" t="s">
        <v>36</v>
      </c>
      <c r="F10" s="133" t="s">
        <v>89</v>
      </c>
      <c r="G10" s="133" t="s">
        <v>19</v>
      </c>
      <c r="H10" s="133" t="s">
        <v>20</v>
      </c>
      <c r="I10" s="134">
        <v>45418</v>
      </c>
      <c r="J10" s="135">
        <v>38500</v>
      </c>
      <c r="K10" s="134">
        <v>45642</v>
      </c>
      <c r="L10" s="135">
        <v>35000</v>
      </c>
      <c r="M10" s="135">
        <f>+L10*5%</f>
        <v>1750</v>
      </c>
      <c r="N10" s="135">
        <v>200</v>
      </c>
      <c r="O10" s="136" t="s">
        <v>218</v>
      </c>
      <c r="P10" s="137" t="s">
        <v>219</v>
      </c>
    </row>
    <row r="11" spans="1:16" ht="16.5" thickBot="1" x14ac:dyDescent="0.3">
      <c r="A11" s="13">
        <v>3</v>
      </c>
      <c r="B11" s="138" t="s">
        <v>122</v>
      </c>
      <c r="C11" s="138" t="s">
        <v>241</v>
      </c>
      <c r="D11" s="138">
        <v>264499</v>
      </c>
      <c r="E11" s="138" t="s">
        <v>193</v>
      </c>
      <c r="F11" s="138" t="s">
        <v>27</v>
      </c>
      <c r="G11" s="139" t="s">
        <v>19</v>
      </c>
      <c r="H11" s="139" t="s">
        <v>20</v>
      </c>
      <c r="I11" s="140">
        <v>45646</v>
      </c>
      <c r="J11" s="141">
        <v>29000</v>
      </c>
      <c r="K11" s="142">
        <v>45646</v>
      </c>
      <c r="L11" s="141">
        <v>29000</v>
      </c>
      <c r="M11" s="143">
        <f>+L11*5%</f>
        <v>1450</v>
      </c>
      <c r="N11" s="135">
        <v>200</v>
      </c>
      <c r="O11" s="144" t="s">
        <v>242</v>
      </c>
      <c r="P11" s="145" t="s">
        <v>243</v>
      </c>
    </row>
    <row r="12" spans="1:16" ht="16.5" thickBot="1" x14ac:dyDescent="0.3">
      <c r="A12" s="193" t="s">
        <v>15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5"/>
    </row>
    <row r="13" spans="1:16" s="5" customFormat="1" x14ac:dyDescent="0.25">
      <c r="A13" s="36">
        <v>1</v>
      </c>
      <c r="B13" s="102" t="s">
        <v>16</v>
      </c>
      <c r="C13" s="102" t="s">
        <v>164</v>
      </c>
      <c r="D13" s="102">
        <v>255868</v>
      </c>
      <c r="E13" s="102" t="s">
        <v>33</v>
      </c>
      <c r="F13" s="102" t="s">
        <v>165</v>
      </c>
      <c r="G13" s="102" t="s">
        <v>19</v>
      </c>
      <c r="H13" s="102" t="s">
        <v>20</v>
      </c>
      <c r="I13" s="103">
        <v>45569</v>
      </c>
      <c r="J13" s="104">
        <v>29000</v>
      </c>
      <c r="K13" s="103">
        <v>45313</v>
      </c>
      <c r="L13" s="104">
        <v>29000</v>
      </c>
      <c r="M13" s="104">
        <v>2900</v>
      </c>
      <c r="N13" s="104">
        <v>200</v>
      </c>
      <c r="O13" s="66" t="s">
        <v>220</v>
      </c>
      <c r="P13" s="36"/>
    </row>
    <row r="14" spans="1:16" s="5" customFormat="1" ht="15.75" thickBot="1" x14ac:dyDescent="0.3">
      <c r="A14" s="13">
        <v>2</v>
      </c>
      <c r="B14" s="146" t="s">
        <v>31</v>
      </c>
      <c r="C14" s="146" t="s">
        <v>190</v>
      </c>
      <c r="D14" s="146">
        <v>262063</v>
      </c>
      <c r="E14" s="146" t="s">
        <v>17</v>
      </c>
      <c r="F14" s="146" t="s">
        <v>46</v>
      </c>
      <c r="G14" s="146" t="s">
        <v>19</v>
      </c>
      <c r="H14" s="146" t="s">
        <v>20</v>
      </c>
      <c r="I14" s="140">
        <v>45604</v>
      </c>
      <c r="J14" s="141">
        <v>14000</v>
      </c>
      <c r="K14" s="140">
        <v>45314</v>
      </c>
      <c r="L14" s="141">
        <v>13800</v>
      </c>
      <c r="M14" s="141">
        <v>1000</v>
      </c>
      <c r="N14" s="141">
        <v>200</v>
      </c>
      <c r="O14" s="138"/>
      <c r="P14" s="147" t="s">
        <v>221</v>
      </c>
    </row>
    <row r="15" spans="1:16" s="5" customFormat="1" ht="16.5" thickBot="1" x14ac:dyDescent="0.3">
      <c r="A15" s="193" t="s">
        <v>51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5"/>
    </row>
    <row r="16" spans="1:16" s="5" customFormat="1" x14ac:dyDescent="0.25">
      <c r="A16" s="13">
        <v>1</v>
      </c>
      <c r="B16" s="138" t="s">
        <v>16</v>
      </c>
      <c r="C16" s="138" t="s">
        <v>182</v>
      </c>
      <c r="D16" s="138">
        <v>260211</v>
      </c>
      <c r="E16" s="138" t="s">
        <v>17</v>
      </c>
      <c r="F16" s="138" t="s">
        <v>96</v>
      </c>
      <c r="G16" s="138" t="s">
        <v>19</v>
      </c>
      <c r="H16" s="138" t="s">
        <v>20</v>
      </c>
      <c r="I16" s="140">
        <v>45608</v>
      </c>
      <c r="J16" s="141">
        <v>28500</v>
      </c>
      <c r="K16" s="140">
        <v>45698</v>
      </c>
      <c r="L16" s="141">
        <v>26500</v>
      </c>
      <c r="M16" s="141">
        <v>1325</v>
      </c>
      <c r="N16" s="141">
        <v>200</v>
      </c>
      <c r="O16" s="148" t="s">
        <v>220</v>
      </c>
      <c r="P16" s="138"/>
    </row>
    <row r="17" spans="1:16" s="5" customFormat="1" ht="15.75" thickBot="1" x14ac:dyDescent="0.3">
      <c r="A17" s="13">
        <v>2</v>
      </c>
      <c r="B17" s="138" t="s">
        <v>16</v>
      </c>
      <c r="C17" s="138" t="s">
        <v>185</v>
      </c>
      <c r="D17" s="138">
        <v>261265</v>
      </c>
      <c r="E17" s="138" t="s">
        <v>17</v>
      </c>
      <c r="F17" s="138" t="s">
        <v>186</v>
      </c>
      <c r="G17" s="138" t="s">
        <v>19</v>
      </c>
      <c r="H17" s="138" t="s">
        <v>20</v>
      </c>
      <c r="I17" s="140">
        <v>45619</v>
      </c>
      <c r="J17" s="141">
        <v>18500</v>
      </c>
      <c r="K17" s="140">
        <v>45705</v>
      </c>
      <c r="L17" s="141">
        <v>17500</v>
      </c>
      <c r="M17" s="141">
        <v>1000</v>
      </c>
      <c r="N17" s="141">
        <v>200</v>
      </c>
      <c r="O17" s="138"/>
      <c r="P17" s="147" t="s">
        <v>289</v>
      </c>
    </row>
    <row r="18" spans="1:16" s="5" customFormat="1" ht="16.5" thickBot="1" x14ac:dyDescent="0.3">
      <c r="A18" s="193" t="s">
        <v>66</v>
      </c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5"/>
    </row>
    <row r="19" spans="1:16" s="5" customFormat="1" x14ac:dyDescent="0.25">
      <c r="A19" s="13">
        <v>1</v>
      </c>
      <c r="B19" s="138" t="s">
        <v>40</v>
      </c>
      <c r="C19" s="138" t="s">
        <v>265</v>
      </c>
      <c r="D19" s="138">
        <v>273713</v>
      </c>
      <c r="E19" s="138" t="s">
        <v>17</v>
      </c>
      <c r="F19" s="138" t="s">
        <v>266</v>
      </c>
      <c r="G19" s="138" t="s">
        <v>19</v>
      </c>
      <c r="H19" s="138" t="s">
        <v>20</v>
      </c>
      <c r="I19" s="140">
        <v>45722</v>
      </c>
      <c r="J19" s="141">
        <v>8300</v>
      </c>
      <c r="K19" s="140">
        <v>45717</v>
      </c>
      <c r="L19" s="141">
        <v>8300</v>
      </c>
      <c r="M19" s="141">
        <v>1000</v>
      </c>
      <c r="N19" s="141">
        <v>200</v>
      </c>
      <c r="O19" s="138"/>
      <c r="P19" s="138"/>
    </row>
    <row r="20" spans="1:16" s="5" customFormat="1" x14ac:dyDescent="0.25">
      <c r="A20" s="13">
        <v>2</v>
      </c>
      <c r="B20" s="13" t="s">
        <v>31</v>
      </c>
      <c r="C20" s="13" t="s">
        <v>339</v>
      </c>
      <c r="D20" s="13" t="s">
        <v>339</v>
      </c>
      <c r="E20" s="13" t="s">
        <v>17</v>
      </c>
      <c r="F20" s="13" t="s">
        <v>217</v>
      </c>
      <c r="G20" s="13" t="s">
        <v>339</v>
      </c>
      <c r="H20" s="13" t="s">
        <v>339</v>
      </c>
      <c r="I20" s="13" t="s">
        <v>339</v>
      </c>
      <c r="J20" s="15" t="s">
        <v>339</v>
      </c>
      <c r="K20" s="14">
        <v>45734</v>
      </c>
      <c r="L20" s="15">
        <v>18000</v>
      </c>
      <c r="M20" s="15">
        <v>1000</v>
      </c>
      <c r="N20" s="15">
        <v>200</v>
      </c>
      <c r="O20" s="13"/>
      <c r="P20" s="46" t="s">
        <v>340</v>
      </c>
    </row>
    <row r="21" spans="1:16" s="5" customFormat="1" x14ac:dyDescent="0.25">
      <c r="A21" s="13">
        <v>3</v>
      </c>
      <c r="B21" s="13" t="s">
        <v>122</v>
      </c>
      <c r="C21" s="13" t="s">
        <v>168</v>
      </c>
      <c r="D21" s="13">
        <v>256574</v>
      </c>
      <c r="E21" s="13" t="s">
        <v>17</v>
      </c>
      <c r="F21" s="13" t="s">
        <v>169</v>
      </c>
      <c r="G21" s="13" t="s">
        <v>19</v>
      </c>
      <c r="H21" s="13" t="s">
        <v>20</v>
      </c>
      <c r="I21" s="14">
        <v>45575</v>
      </c>
      <c r="J21" s="15">
        <v>42000</v>
      </c>
      <c r="K21" s="14">
        <v>45735</v>
      </c>
      <c r="L21" s="15">
        <v>40000</v>
      </c>
      <c r="M21" s="15">
        <f>+L21*5%</f>
        <v>2000</v>
      </c>
      <c r="N21" s="15">
        <v>200</v>
      </c>
      <c r="O21" s="13"/>
      <c r="P21" s="13" t="s">
        <v>342</v>
      </c>
    </row>
    <row r="22" spans="1:16" s="5" customFormat="1" x14ac:dyDescent="0.25">
      <c r="A22" s="13">
        <v>4</v>
      </c>
      <c r="B22" s="18" t="s">
        <v>16</v>
      </c>
      <c r="C22" s="18" t="s">
        <v>141</v>
      </c>
      <c r="D22" s="18">
        <v>250486</v>
      </c>
      <c r="E22" s="18" t="s">
        <v>17</v>
      </c>
      <c r="F22" s="85" t="s">
        <v>142</v>
      </c>
      <c r="G22" s="13" t="s">
        <v>19</v>
      </c>
      <c r="H22" s="13" t="s">
        <v>20</v>
      </c>
      <c r="I22" s="14">
        <v>45531</v>
      </c>
      <c r="J22" s="15">
        <v>12000</v>
      </c>
      <c r="K22" s="14">
        <v>45736</v>
      </c>
      <c r="L22" s="15">
        <v>10500</v>
      </c>
      <c r="M22" s="15">
        <v>1000</v>
      </c>
      <c r="N22" s="15">
        <v>200</v>
      </c>
      <c r="O22" s="13"/>
      <c r="P22" s="13"/>
    </row>
    <row r="23" spans="1:16" s="5" customFormat="1" ht="15.75" thickBot="1" x14ac:dyDescent="0.3">
      <c r="A23" s="13">
        <v>5</v>
      </c>
      <c r="B23" s="138" t="s">
        <v>40</v>
      </c>
      <c r="C23" s="138" t="s">
        <v>196</v>
      </c>
      <c r="D23" s="138">
        <v>263446</v>
      </c>
      <c r="E23" s="138" t="s">
        <v>33</v>
      </c>
      <c r="F23" s="138" t="s">
        <v>52</v>
      </c>
      <c r="G23" s="138" t="s">
        <v>19</v>
      </c>
      <c r="H23" s="138" t="s">
        <v>20</v>
      </c>
      <c r="I23" s="140">
        <v>45636</v>
      </c>
      <c r="J23" s="141">
        <v>32000</v>
      </c>
      <c r="K23" s="140">
        <v>45740</v>
      </c>
      <c r="L23" s="141">
        <v>29500</v>
      </c>
      <c r="M23" s="141">
        <f>+L23*5%</f>
        <v>1475</v>
      </c>
      <c r="N23" s="141">
        <v>200</v>
      </c>
      <c r="O23" s="147" t="s">
        <v>369</v>
      </c>
      <c r="P23" s="138"/>
    </row>
    <row r="24" spans="1:16" s="5" customFormat="1" ht="16.5" thickBot="1" x14ac:dyDescent="0.3">
      <c r="A24" s="193" t="s">
        <v>71</v>
      </c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5"/>
    </row>
    <row r="25" spans="1:16" s="5" customFormat="1" x14ac:dyDescent="0.25">
      <c r="A25" s="13">
        <v>1</v>
      </c>
      <c r="B25" s="18" t="s">
        <v>31</v>
      </c>
      <c r="C25" s="18" t="s">
        <v>358</v>
      </c>
      <c r="D25" s="18">
        <v>276706</v>
      </c>
      <c r="E25" s="18" t="s">
        <v>17</v>
      </c>
      <c r="F25" s="18" t="s">
        <v>370</v>
      </c>
      <c r="G25" s="18" t="s">
        <v>24</v>
      </c>
      <c r="H25" s="18" t="s">
        <v>20</v>
      </c>
      <c r="I25" s="19">
        <v>45743</v>
      </c>
      <c r="J25" s="15">
        <v>21500</v>
      </c>
      <c r="K25" s="14">
        <v>45756</v>
      </c>
      <c r="L25" s="15">
        <v>21500</v>
      </c>
      <c r="M25" s="15">
        <f>+L25*5%</f>
        <v>1075</v>
      </c>
      <c r="N25" s="15">
        <v>200</v>
      </c>
      <c r="O25" s="13"/>
      <c r="P25" s="46" t="s">
        <v>371</v>
      </c>
    </row>
    <row r="26" spans="1:16" s="5" customFormat="1" x14ac:dyDescent="0.25">
      <c r="A26" s="13">
        <v>2</v>
      </c>
      <c r="B26" s="13" t="s">
        <v>31</v>
      </c>
      <c r="C26" s="13" t="s">
        <v>293</v>
      </c>
      <c r="D26" s="13">
        <v>264023</v>
      </c>
      <c r="E26" s="13" t="s">
        <v>193</v>
      </c>
      <c r="F26" s="13" t="s">
        <v>294</v>
      </c>
      <c r="G26" s="13" t="s">
        <v>19</v>
      </c>
      <c r="H26" s="13" t="s">
        <v>25</v>
      </c>
      <c r="I26" s="14">
        <v>45642</v>
      </c>
      <c r="J26" s="15">
        <v>160</v>
      </c>
      <c r="K26" s="14">
        <v>45759</v>
      </c>
      <c r="L26" s="15">
        <v>160</v>
      </c>
      <c r="M26" s="15" t="s">
        <v>339</v>
      </c>
      <c r="N26" s="15">
        <v>160</v>
      </c>
      <c r="O26" s="13"/>
      <c r="P26" s="13"/>
    </row>
    <row r="27" spans="1:16" s="5" customFormat="1" ht="15.75" thickBot="1" x14ac:dyDescent="0.3">
      <c r="A27" s="13">
        <v>3</v>
      </c>
      <c r="B27" s="13" t="s">
        <v>40</v>
      </c>
      <c r="C27" s="13" t="s">
        <v>287</v>
      </c>
      <c r="D27" s="13">
        <v>273978</v>
      </c>
      <c r="E27" s="13" t="s">
        <v>17</v>
      </c>
      <c r="F27" s="13" t="s">
        <v>288</v>
      </c>
      <c r="G27" s="13" t="s">
        <v>19</v>
      </c>
      <c r="H27" s="13" t="s">
        <v>20</v>
      </c>
      <c r="I27" s="14">
        <v>45724</v>
      </c>
      <c r="J27" s="15">
        <v>23000</v>
      </c>
      <c r="K27" s="14">
        <v>45769</v>
      </c>
      <c r="L27" s="15">
        <v>23000</v>
      </c>
      <c r="M27" s="15">
        <f>+L27*5%</f>
        <v>1150</v>
      </c>
      <c r="N27" s="15">
        <v>200</v>
      </c>
      <c r="O27" s="13"/>
      <c r="P27" s="13"/>
    </row>
    <row r="28" spans="1:16" s="5" customFormat="1" ht="16.5" thickBot="1" x14ac:dyDescent="0.3">
      <c r="A28" s="193" t="s">
        <v>87</v>
      </c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5"/>
    </row>
    <row r="29" spans="1:16" s="5" customFormat="1" x14ac:dyDescent="0.25">
      <c r="A29" s="13">
        <v>1</v>
      </c>
      <c r="B29" s="13" t="s">
        <v>16</v>
      </c>
      <c r="C29" s="13" t="s">
        <v>152</v>
      </c>
      <c r="D29" s="13">
        <v>252305</v>
      </c>
      <c r="E29" s="13" t="s">
        <v>33</v>
      </c>
      <c r="F29" s="13" t="s">
        <v>153</v>
      </c>
      <c r="G29" s="13" t="s">
        <v>19</v>
      </c>
      <c r="H29" s="13" t="s">
        <v>20</v>
      </c>
      <c r="I29" s="14">
        <v>45544</v>
      </c>
      <c r="J29" s="15">
        <v>29000</v>
      </c>
      <c r="K29" s="14">
        <v>45787</v>
      </c>
      <c r="L29" s="15">
        <v>25000</v>
      </c>
      <c r="M29" s="15">
        <f>+L29*5%</f>
        <v>1250</v>
      </c>
      <c r="N29" s="15">
        <v>100</v>
      </c>
      <c r="O29" s="46" t="s">
        <v>417</v>
      </c>
      <c r="P29" s="13" t="s">
        <v>435</v>
      </c>
    </row>
    <row r="30" spans="1:16" s="5" customFormat="1" x14ac:dyDescent="0.25">
      <c r="A30" s="13">
        <v>2</v>
      </c>
      <c r="B30" s="13" t="s">
        <v>380</v>
      </c>
      <c r="C30" s="18" t="s">
        <v>405</v>
      </c>
      <c r="D30" s="13">
        <v>281742</v>
      </c>
      <c r="E30" s="13" t="s">
        <v>17</v>
      </c>
      <c r="F30" s="13" t="s">
        <v>406</v>
      </c>
      <c r="G30" s="13" t="s">
        <v>24</v>
      </c>
      <c r="H30" s="13" t="s">
        <v>20</v>
      </c>
      <c r="I30" s="14">
        <v>45782</v>
      </c>
      <c r="J30" s="15">
        <v>22000</v>
      </c>
      <c r="K30" s="14">
        <v>45790</v>
      </c>
      <c r="L30" s="15">
        <v>20000</v>
      </c>
      <c r="M30" s="15">
        <v>1000</v>
      </c>
      <c r="N30" s="15">
        <v>200</v>
      </c>
      <c r="O30" s="13"/>
      <c r="P30" s="13"/>
    </row>
    <row r="31" spans="1:16" s="5" customFormat="1" x14ac:dyDescent="0.25">
      <c r="A31" s="13">
        <v>3</v>
      </c>
      <c r="B31" s="13" t="s">
        <v>368</v>
      </c>
      <c r="C31" s="13" t="s">
        <v>383</v>
      </c>
      <c r="D31" s="13">
        <v>280218</v>
      </c>
      <c r="E31" s="13" t="s">
        <v>36</v>
      </c>
      <c r="F31" s="13" t="s">
        <v>384</v>
      </c>
      <c r="G31" s="13" t="s">
        <v>19</v>
      </c>
      <c r="H31" s="13" t="s">
        <v>20</v>
      </c>
      <c r="I31" s="14">
        <v>45771</v>
      </c>
      <c r="J31" s="15">
        <v>25000</v>
      </c>
      <c r="K31" s="14">
        <v>45790</v>
      </c>
      <c r="L31" s="15">
        <v>21500</v>
      </c>
      <c r="M31" s="15">
        <f>+L31*5%</f>
        <v>1075</v>
      </c>
      <c r="N31" s="15">
        <v>200</v>
      </c>
      <c r="O31" s="13"/>
      <c r="P31" s="13"/>
    </row>
    <row r="32" spans="1:16" s="5" customFormat="1" x14ac:dyDescent="0.25">
      <c r="A32" s="13">
        <v>4</v>
      </c>
      <c r="B32" s="13" t="s">
        <v>16</v>
      </c>
      <c r="C32" s="13" t="s">
        <v>161</v>
      </c>
      <c r="D32" s="13">
        <v>255139</v>
      </c>
      <c r="E32" s="13" t="s">
        <v>17</v>
      </c>
      <c r="F32" s="13" t="s">
        <v>162</v>
      </c>
      <c r="G32" s="13" t="s">
        <v>19</v>
      </c>
      <c r="H32" s="13" t="s">
        <v>20</v>
      </c>
      <c r="I32" s="14">
        <v>45565</v>
      </c>
      <c r="J32" s="15">
        <v>12500</v>
      </c>
      <c r="K32" s="14">
        <v>45801</v>
      </c>
      <c r="L32" s="15">
        <v>11500</v>
      </c>
      <c r="M32" s="15">
        <v>1000</v>
      </c>
      <c r="N32" s="15">
        <v>200</v>
      </c>
      <c r="O32" s="13"/>
      <c r="P32" s="13"/>
    </row>
    <row r="33" spans="1:16" s="5" customFormat="1" ht="15.75" thickBot="1" x14ac:dyDescent="0.3">
      <c r="A33" s="13">
        <v>5</v>
      </c>
      <c r="B33" s="18" t="s">
        <v>387</v>
      </c>
      <c r="C33" s="18" t="s">
        <v>392</v>
      </c>
      <c r="D33" s="18">
        <v>280338</v>
      </c>
      <c r="E33" s="18" t="s">
        <v>17</v>
      </c>
      <c r="F33" s="18" t="s">
        <v>393</v>
      </c>
      <c r="G33" s="13" t="s">
        <v>19</v>
      </c>
      <c r="H33" s="13" t="s">
        <v>20</v>
      </c>
      <c r="I33" s="14">
        <v>45771</v>
      </c>
      <c r="J33" s="15">
        <v>18000</v>
      </c>
      <c r="K33" s="14">
        <v>45805</v>
      </c>
      <c r="L33" s="15">
        <v>16500</v>
      </c>
      <c r="M33" s="15">
        <v>1000</v>
      </c>
      <c r="N33" s="15">
        <v>200</v>
      </c>
      <c r="O33" s="13"/>
      <c r="P33" s="13"/>
    </row>
    <row r="34" spans="1:16" s="5" customFormat="1" ht="16.5" thickBot="1" x14ac:dyDescent="0.3">
      <c r="A34" s="193" t="s">
        <v>97</v>
      </c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5"/>
    </row>
    <row r="35" spans="1:16" s="5" customFormat="1" x14ac:dyDescent="0.25">
      <c r="A35" s="13">
        <v>1</v>
      </c>
      <c r="B35" s="18" t="s">
        <v>31</v>
      </c>
      <c r="C35" s="18" t="s">
        <v>439</v>
      </c>
      <c r="D35" s="18">
        <v>284892</v>
      </c>
      <c r="E35" s="18" t="s">
        <v>36</v>
      </c>
      <c r="F35" s="18" t="s">
        <v>440</v>
      </c>
      <c r="G35" s="18" t="s">
        <v>19</v>
      </c>
      <c r="H35" s="18" t="s">
        <v>20</v>
      </c>
      <c r="I35" s="14">
        <v>45806</v>
      </c>
      <c r="J35" s="15">
        <v>6000</v>
      </c>
      <c r="K35" s="14">
        <v>45810</v>
      </c>
      <c r="L35" s="15">
        <v>6000</v>
      </c>
      <c r="M35" s="15">
        <v>500</v>
      </c>
      <c r="N35" s="15">
        <v>150</v>
      </c>
      <c r="O35" s="13"/>
      <c r="P35" s="13"/>
    </row>
    <row r="36" spans="1:16" s="5" customFormat="1" x14ac:dyDescent="0.25">
      <c r="A36" s="13">
        <v>2</v>
      </c>
      <c r="B36" s="13" t="s">
        <v>40</v>
      </c>
      <c r="C36" s="13" t="s">
        <v>339</v>
      </c>
      <c r="D36" s="13" t="s">
        <v>339</v>
      </c>
      <c r="E36" s="13" t="s">
        <v>17</v>
      </c>
      <c r="F36" s="13" t="s">
        <v>481</v>
      </c>
      <c r="G36" s="13" t="s">
        <v>339</v>
      </c>
      <c r="H36" s="13" t="s">
        <v>339</v>
      </c>
      <c r="I36" s="13" t="s">
        <v>339</v>
      </c>
      <c r="J36" s="15" t="s">
        <v>339</v>
      </c>
      <c r="K36" s="14">
        <v>45833</v>
      </c>
      <c r="L36" s="15">
        <v>20500</v>
      </c>
      <c r="M36" s="15">
        <v>1000</v>
      </c>
      <c r="N36" s="15">
        <v>200</v>
      </c>
      <c r="O36" s="13"/>
      <c r="P36" s="13" t="s">
        <v>482</v>
      </c>
    </row>
    <row r="37" spans="1:16" s="5" customFormat="1" ht="15.75" thickBot="1" x14ac:dyDescent="0.3">
      <c r="A37" s="13">
        <v>3</v>
      </c>
      <c r="B37" s="18" t="s">
        <v>380</v>
      </c>
      <c r="C37" s="18" t="s">
        <v>418</v>
      </c>
      <c r="D37" s="18">
        <v>282937</v>
      </c>
      <c r="E37" s="18" t="s">
        <v>17</v>
      </c>
      <c r="F37" s="18" t="s">
        <v>406</v>
      </c>
      <c r="G37" s="18" t="s">
        <v>24</v>
      </c>
      <c r="H37" s="18" t="s">
        <v>20</v>
      </c>
      <c r="I37" s="14">
        <v>45792</v>
      </c>
      <c r="J37" s="15">
        <v>14800</v>
      </c>
      <c r="K37" s="14">
        <v>45838</v>
      </c>
      <c r="L37" s="15">
        <v>14800</v>
      </c>
      <c r="M37" s="15">
        <v>1000</v>
      </c>
      <c r="N37" s="15">
        <v>200</v>
      </c>
      <c r="O37" s="13" t="s">
        <v>419</v>
      </c>
      <c r="P37" s="13"/>
    </row>
    <row r="38" spans="1:16" s="5" customFormat="1" ht="16.5" thickBot="1" x14ac:dyDescent="0.3">
      <c r="A38" s="193" t="s">
        <v>116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5"/>
    </row>
    <row r="39" spans="1:16" s="5" customFormat="1" x14ac:dyDescent="0.25">
      <c r="A39" s="13">
        <v>1</v>
      </c>
      <c r="B39" s="18" t="s">
        <v>16</v>
      </c>
      <c r="C39" s="18" t="s">
        <v>490</v>
      </c>
      <c r="D39" s="18">
        <v>289567</v>
      </c>
      <c r="E39" s="18" t="s">
        <v>17</v>
      </c>
      <c r="F39" s="18" t="s">
        <v>239</v>
      </c>
      <c r="G39" s="18" t="s">
        <v>19</v>
      </c>
      <c r="H39" s="18" t="s">
        <v>20</v>
      </c>
      <c r="I39" s="14">
        <v>45838</v>
      </c>
      <c r="J39" s="15">
        <v>14000</v>
      </c>
      <c r="K39" s="14">
        <v>45848</v>
      </c>
      <c r="L39" s="15">
        <v>14800</v>
      </c>
      <c r="M39" s="15">
        <v>1000</v>
      </c>
      <c r="N39" s="15">
        <v>200</v>
      </c>
      <c r="O39" s="13"/>
      <c r="P39" s="13"/>
    </row>
    <row r="40" spans="1:16" s="5" customFormat="1" x14ac:dyDescent="0.25">
      <c r="A40" s="13">
        <v>2</v>
      </c>
      <c r="B40" s="18" t="s">
        <v>380</v>
      </c>
      <c r="C40" s="18" t="s">
        <v>430</v>
      </c>
      <c r="D40" s="18">
        <v>283749</v>
      </c>
      <c r="E40" s="18" t="s">
        <v>36</v>
      </c>
      <c r="F40" s="18" t="s">
        <v>431</v>
      </c>
      <c r="G40" s="13" t="s">
        <v>19</v>
      </c>
      <c r="H40" s="13" t="s">
        <v>20</v>
      </c>
      <c r="I40" s="14">
        <v>45798</v>
      </c>
      <c r="J40" s="15">
        <v>24000</v>
      </c>
      <c r="K40" s="14">
        <v>45856</v>
      </c>
      <c r="L40" s="15">
        <v>23000</v>
      </c>
      <c r="M40" s="15">
        <f>+L40*5%</f>
        <v>1150</v>
      </c>
      <c r="N40" s="15">
        <v>200</v>
      </c>
      <c r="O40" s="13"/>
      <c r="P40" s="13"/>
    </row>
    <row r="41" spans="1:16" s="5" customFormat="1" ht="15.75" thickBot="1" x14ac:dyDescent="0.3">
      <c r="A41" s="13">
        <v>3</v>
      </c>
      <c r="B41" s="18" t="s">
        <v>16</v>
      </c>
      <c r="C41" s="18" t="s">
        <v>234</v>
      </c>
      <c r="D41" s="18">
        <v>268756</v>
      </c>
      <c r="E41" s="18" t="s">
        <v>36</v>
      </c>
      <c r="F41" s="18" t="s">
        <v>235</v>
      </c>
      <c r="G41" s="18" t="s">
        <v>19</v>
      </c>
      <c r="H41" s="18" t="s">
        <v>20</v>
      </c>
      <c r="I41" s="14">
        <v>45698</v>
      </c>
      <c r="J41" s="15">
        <v>28000</v>
      </c>
      <c r="K41" s="14">
        <v>45856</v>
      </c>
      <c r="L41" s="15">
        <v>26000</v>
      </c>
      <c r="M41" s="15">
        <f>+L41*5%</f>
        <v>1300</v>
      </c>
      <c r="N41" s="15">
        <v>200</v>
      </c>
      <c r="O41" s="27" t="s">
        <v>195</v>
      </c>
      <c r="P41" s="13"/>
    </row>
    <row r="42" spans="1:16" s="5" customFormat="1" ht="16.5" thickBot="1" x14ac:dyDescent="0.3">
      <c r="A42" s="193" t="s">
        <v>130</v>
      </c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5"/>
    </row>
    <row r="43" spans="1:16" s="5" customFormat="1" x14ac:dyDescent="0.25">
      <c r="A43" s="13">
        <v>1</v>
      </c>
      <c r="B43" s="13" t="s">
        <v>380</v>
      </c>
      <c r="C43" s="18" t="s">
        <v>541</v>
      </c>
      <c r="D43" s="18">
        <v>294160</v>
      </c>
      <c r="E43" s="13" t="s">
        <v>17</v>
      </c>
      <c r="F43" s="13" t="s">
        <v>542</v>
      </c>
      <c r="G43" s="13" t="s">
        <v>19</v>
      </c>
      <c r="H43" s="13" t="s">
        <v>20</v>
      </c>
      <c r="I43" s="14">
        <v>45871</v>
      </c>
      <c r="J43" s="15">
        <v>14000</v>
      </c>
      <c r="K43" s="14">
        <v>45871</v>
      </c>
      <c r="L43" s="15">
        <v>14000</v>
      </c>
      <c r="M43" s="15">
        <v>1000</v>
      </c>
      <c r="N43" s="15">
        <v>200</v>
      </c>
      <c r="O43" s="13"/>
      <c r="P43" s="13"/>
    </row>
    <row r="44" spans="1:16" s="5" customFormat="1" x14ac:dyDescent="0.25">
      <c r="A44" s="13">
        <v>2</v>
      </c>
      <c r="B44" s="13" t="s">
        <v>16</v>
      </c>
      <c r="C44" s="13" t="s">
        <v>249</v>
      </c>
      <c r="D44" s="13">
        <v>272979</v>
      </c>
      <c r="E44" s="13" t="s">
        <v>33</v>
      </c>
      <c r="F44" s="13" t="s">
        <v>253</v>
      </c>
      <c r="G44" s="13" t="s">
        <v>19</v>
      </c>
      <c r="H44" s="13" t="s">
        <v>20</v>
      </c>
      <c r="I44" s="14">
        <v>45716</v>
      </c>
      <c r="J44" s="15">
        <v>35000</v>
      </c>
      <c r="K44" s="14">
        <v>45873</v>
      </c>
      <c r="L44" s="15">
        <v>30500</v>
      </c>
      <c r="M44" s="15">
        <f>+L44*5%</f>
        <v>1525</v>
      </c>
      <c r="N44" s="15">
        <v>200</v>
      </c>
      <c r="O44" s="13" t="s">
        <v>254</v>
      </c>
      <c r="P44" s="13" t="s">
        <v>546</v>
      </c>
    </row>
    <row r="45" spans="1:16" s="5" customFormat="1" x14ac:dyDescent="0.25">
      <c r="A45" s="13">
        <v>3</v>
      </c>
      <c r="B45" s="13" t="s">
        <v>40</v>
      </c>
      <c r="C45" s="13" t="s">
        <v>197</v>
      </c>
      <c r="D45" s="13">
        <v>263450</v>
      </c>
      <c r="E45" s="13" t="s">
        <v>33</v>
      </c>
      <c r="F45" s="13" t="s">
        <v>198</v>
      </c>
      <c r="G45" s="13" t="s">
        <v>19</v>
      </c>
      <c r="H45" s="13" t="s">
        <v>20</v>
      </c>
      <c r="I45" s="14">
        <v>45636</v>
      </c>
      <c r="J45" s="15">
        <v>23000</v>
      </c>
      <c r="K45" s="14">
        <v>45880</v>
      </c>
      <c r="L45" s="15">
        <v>23000</v>
      </c>
      <c r="M45" s="15">
        <f>+L45*5%</f>
        <v>1150</v>
      </c>
      <c r="N45" s="15">
        <v>200</v>
      </c>
      <c r="O45" s="13" t="s">
        <v>199</v>
      </c>
      <c r="P45" s="13"/>
    </row>
    <row r="46" spans="1:16" s="5" customFormat="1" x14ac:dyDescent="0.25">
      <c r="A46" s="13">
        <v>4</v>
      </c>
      <c r="B46" s="18" t="s">
        <v>31</v>
      </c>
      <c r="C46" s="18" t="s">
        <v>487</v>
      </c>
      <c r="D46" s="18">
        <v>289112</v>
      </c>
      <c r="E46" s="18" t="s">
        <v>129</v>
      </c>
      <c r="F46" s="18" t="s">
        <v>488</v>
      </c>
      <c r="G46" s="18" t="s">
        <v>19</v>
      </c>
      <c r="H46" s="18" t="s">
        <v>20</v>
      </c>
      <c r="I46" s="14">
        <v>45470</v>
      </c>
      <c r="J46" s="15">
        <v>23000</v>
      </c>
      <c r="K46" s="14">
        <v>45883</v>
      </c>
      <c r="L46" s="15">
        <v>22000</v>
      </c>
      <c r="M46" s="15">
        <f>+L46*5%</f>
        <v>1100</v>
      </c>
      <c r="N46" s="15">
        <v>200</v>
      </c>
      <c r="O46" s="85" t="s">
        <v>489</v>
      </c>
      <c r="P46" s="13" t="s">
        <v>553</v>
      </c>
    </row>
    <row r="47" spans="1:16" s="5" customFormat="1" x14ac:dyDescent="0.25">
      <c r="A47" s="13">
        <v>5</v>
      </c>
      <c r="B47" s="18" t="s">
        <v>380</v>
      </c>
      <c r="C47" s="13" t="s">
        <v>463</v>
      </c>
      <c r="D47" s="13">
        <v>286418</v>
      </c>
      <c r="E47" s="13" t="s">
        <v>36</v>
      </c>
      <c r="F47" s="13" t="s">
        <v>198</v>
      </c>
      <c r="G47" s="13" t="s">
        <v>24</v>
      </c>
      <c r="H47" s="13" t="s">
        <v>20</v>
      </c>
      <c r="I47" s="14">
        <v>45817</v>
      </c>
      <c r="J47" s="15">
        <v>35000</v>
      </c>
      <c r="K47" s="14">
        <v>45885</v>
      </c>
      <c r="L47" s="15">
        <v>27000</v>
      </c>
      <c r="M47" s="15">
        <f>+L47*5%</f>
        <v>1350</v>
      </c>
      <c r="N47" s="15">
        <v>200</v>
      </c>
      <c r="O47" s="13"/>
      <c r="P47" s="13" t="s">
        <v>554</v>
      </c>
    </row>
    <row r="48" spans="1:16" s="5" customFormat="1" ht="15.75" thickBot="1" x14ac:dyDescent="0.3">
      <c r="A48" s="13">
        <v>6</v>
      </c>
      <c r="B48" s="13" t="s">
        <v>380</v>
      </c>
      <c r="C48" s="13" t="s">
        <v>507</v>
      </c>
      <c r="D48" s="13">
        <v>291680</v>
      </c>
      <c r="E48" s="46" t="s">
        <v>42</v>
      </c>
      <c r="F48" s="13" t="s">
        <v>508</v>
      </c>
      <c r="G48" s="13" t="s">
        <v>19</v>
      </c>
      <c r="H48" s="13" t="s">
        <v>20</v>
      </c>
      <c r="I48" s="14">
        <v>45854</v>
      </c>
      <c r="J48" s="15">
        <v>40000</v>
      </c>
      <c r="K48" s="14">
        <v>45890</v>
      </c>
      <c r="L48" s="15">
        <v>37000</v>
      </c>
      <c r="M48" s="15">
        <f>+L48*10%</f>
        <v>3700</v>
      </c>
      <c r="N48" s="15">
        <v>250</v>
      </c>
      <c r="O48" s="13"/>
      <c r="P48" s="13" t="s">
        <v>560</v>
      </c>
    </row>
    <row r="49" spans="1:16" s="5" customFormat="1" ht="16.5" thickBot="1" x14ac:dyDescent="0.3">
      <c r="A49" s="193" t="s">
        <v>143</v>
      </c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5"/>
    </row>
    <row r="50" spans="1:16" s="5" customFormat="1" x14ac:dyDescent="0.25">
      <c r="A50" s="13">
        <v>1</v>
      </c>
      <c r="B50" s="18" t="s">
        <v>16</v>
      </c>
      <c r="C50" s="18" t="s">
        <v>477</v>
      </c>
      <c r="D50" s="18">
        <v>288156</v>
      </c>
      <c r="E50" s="18" t="s">
        <v>17</v>
      </c>
      <c r="F50" s="18" t="s">
        <v>478</v>
      </c>
      <c r="G50" s="18" t="s">
        <v>24</v>
      </c>
      <c r="H50" s="18" t="s">
        <v>20</v>
      </c>
      <c r="I50" s="14">
        <v>45834</v>
      </c>
      <c r="J50" s="15">
        <v>17000</v>
      </c>
      <c r="K50" s="14">
        <v>45909</v>
      </c>
      <c r="L50" s="15">
        <v>17000</v>
      </c>
      <c r="M50" s="15">
        <v>1000</v>
      </c>
      <c r="N50" s="15">
        <v>200</v>
      </c>
      <c r="O50" s="13"/>
      <c r="P50" s="167" t="s">
        <v>580</v>
      </c>
    </row>
    <row r="51" spans="1:16" s="5" customFormat="1" x14ac:dyDescent="0.25">
      <c r="A51" s="13">
        <v>2</v>
      </c>
      <c r="B51" s="13" t="s">
        <v>122</v>
      </c>
      <c r="C51" s="13" t="s">
        <v>581</v>
      </c>
      <c r="D51" s="13">
        <v>298928</v>
      </c>
      <c r="E51" s="13" t="s">
        <v>17</v>
      </c>
      <c r="F51" s="13" t="s">
        <v>445</v>
      </c>
      <c r="G51" s="13" t="s">
        <v>19</v>
      </c>
      <c r="H51" s="13" t="s">
        <v>20</v>
      </c>
      <c r="I51" s="14">
        <v>45909</v>
      </c>
      <c r="J51" s="15">
        <v>40000</v>
      </c>
      <c r="K51" s="14">
        <v>45910</v>
      </c>
      <c r="L51" s="15">
        <v>32000</v>
      </c>
      <c r="M51" s="15">
        <f>+L51*5%</f>
        <v>1600</v>
      </c>
      <c r="N51" s="15">
        <v>200</v>
      </c>
      <c r="O51" s="13"/>
      <c r="P51" s="13" t="s">
        <v>584</v>
      </c>
    </row>
    <row r="52" spans="1:16" s="5" customFormat="1" x14ac:dyDescent="0.25">
      <c r="A52" s="13">
        <v>3</v>
      </c>
      <c r="B52" s="13" t="s">
        <v>122</v>
      </c>
      <c r="C52" s="13" t="s">
        <v>582</v>
      </c>
      <c r="D52" s="13">
        <v>298940</v>
      </c>
      <c r="E52" s="13" t="s">
        <v>36</v>
      </c>
      <c r="F52" s="13" t="s">
        <v>413</v>
      </c>
      <c r="G52" s="13" t="s">
        <v>19</v>
      </c>
      <c r="H52" s="13" t="s">
        <v>20</v>
      </c>
      <c r="I52" s="14">
        <v>45909</v>
      </c>
      <c r="J52" s="15">
        <v>21000</v>
      </c>
      <c r="K52" s="14">
        <v>45911</v>
      </c>
      <c r="L52" s="15">
        <v>21000</v>
      </c>
      <c r="M52" s="15">
        <f>+L52*5%</f>
        <v>1050</v>
      </c>
      <c r="N52" s="15">
        <v>200</v>
      </c>
      <c r="O52" s="13"/>
      <c r="P52" s="13"/>
    </row>
    <row r="53" spans="1:16" s="5" customFormat="1" ht="15.75" thickBot="1" x14ac:dyDescent="0.3">
      <c r="A53" s="13">
        <v>4</v>
      </c>
      <c r="B53" s="13" t="s">
        <v>380</v>
      </c>
      <c r="C53" s="13" t="s">
        <v>585</v>
      </c>
      <c r="D53" s="13">
        <v>299688</v>
      </c>
      <c r="E53" s="13" t="s">
        <v>17</v>
      </c>
      <c r="F53" s="13" t="s">
        <v>481</v>
      </c>
      <c r="G53" s="13" t="s">
        <v>19</v>
      </c>
      <c r="H53" s="13" t="s">
        <v>20</v>
      </c>
      <c r="I53" s="14">
        <v>45915</v>
      </c>
      <c r="J53" s="15">
        <v>24000</v>
      </c>
      <c r="K53" s="14">
        <v>45915</v>
      </c>
      <c r="L53" s="15">
        <v>24000</v>
      </c>
      <c r="M53" s="15">
        <f>+L53*5%</f>
        <v>1200</v>
      </c>
      <c r="N53" s="15">
        <v>200</v>
      </c>
      <c r="O53" s="13"/>
      <c r="P53" s="13"/>
    </row>
    <row r="54" spans="1:16" s="5" customFormat="1" ht="16.5" thickBot="1" x14ac:dyDescent="0.3">
      <c r="A54" s="193" t="s">
        <v>163</v>
      </c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5"/>
    </row>
    <row r="55" spans="1:16" s="5" customFormat="1" x14ac:dyDescent="0.25">
      <c r="A55" s="178" t="s">
        <v>635</v>
      </c>
      <c r="B55" s="18" t="s">
        <v>16</v>
      </c>
      <c r="C55" s="18" t="s">
        <v>578</v>
      </c>
      <c r="D55" s="18">
        <v>300692</v>
      </c>
      <c r="E55" s="18" t="s">
        <v>17</v>
      </c>
      <c r="F55" s="18" t="s">
        <v>43</v>
      </c>
      <c r="G55" s="18" t="s">
        <v>19</v>
      </c>
      <c r="H55" s="18" t="s">
        <v>20</v>
      </c>
      <c r="I55" s="179" t="s">
        <v>636</v>
      </c>
      <c r="J55" s="181">
        <v>18000</v>
      </c>
      <c r="K55" s="179" t="s">
        <v>637</v>
      </c>
      <c r="L55" s="179"/>
      <c r="M55" s="179"/>
      <c r="N55" s="179"/>
      <c r="O55" s="179"/>
      <c r="P55" s="180"/>
    </row>
    <row r="56" spans="1:16" s="5" customFormat="1" x14ac:dyDescent="0.25">
      <c r="A56" s="13">
        <v>2</v>
      </c>
      <c r="B56" s="18" t="s">
        <v>16</v>
      </c>
      <c r="C56" s="18" t="s">
        <v>333</v>
      </c>
      <c r="D56" s="18">
        <v>275027</v>
      </c>
      <c r="E56" s="18" t="s">
        <v>17</v>
      </c>
      <c r="F56" s="18" t="s">
        <v>334</v>
      </c>
      <c r="G56" s="18" t="s">
        <v>19</v>
      </c>
      <c r="H56" s="18" t="s">
        <v>20</v>
      </c>
      <c r="I56" s="19">
        <v>45733</v>
      </c>
      <c r="J56" s="20">
        <v>28500</v>
      </c>
      <c r="K56" s="19">
        <v>45931</v>
      </c>
      <c r="L56" s="20">
        <v>25500</v>
      </c>
      <c r="M56" s="20">
        <f>+L56*5%</f>
        <v>1275</v>
      </c>
      <c r="N56" s="20">
        <v>200</v>
      </c>
      <c r="O56" s="18"/>
      <c r="P56" s="18" t="s">
        <v>609</v>
      </c>
    </row>
    <row r="57" spans="1:16" s="5" customFormat="1" x14ac:dyDescent="0.25">
      <c r="A57" s="13">
        <v>3</v>
      </c>
      <c r="B57" s="18" t="s">
        <v>380</v>
      </c>
      <c r="C57" s="18" t="s">
        <v>597</v>
      </c>
      <c r="D57" s="18">
        <v>300544</v>
      </c>
      <c r="E57" s="18" t="s">
        <v>17</v>
      </c>
      <c r="F57" s="18" t="s">
        <v>598</v>
      </c>
      <c r="G57" s="18" t="s">
        <v>19</v>
      </c>
      <c r="H57" s="18" t="s">
        <v>20</v>
      </c>
      <c r="I57" s="19">
        <v>45953</v>
      </c>
      <c r="J57" s="20">
        <v>21500</v>
      </c>
      <c r="K57" s="19">
        <v>45931</v>
      </c>
      <c r="L57" s="20">
        <v>20000</v>
      </c>
      <c r="M57" s="20">
        <f>+L57*5%</f>
        <v>1000</v>
      </c>
      <c r="N57" s="20">
        <v>200</v>
      </c>
      <c r="O57" s="52" t="s">
        <v>599</v>
      </c>
      <c r="P57" s="18"/>
    </row>
    <row r="58" spans="1:16" s="5" customFormat="1" x14ac:dyDescent="0.25">
      <c r="A58" s="13">
        <v>4</v>
      </c>
      <c r="B58" s="13" t="s">
        <v>31</v>
      </c>
      <c r="C58" s="13" t="s">
        <v>339</v>
      </c>
      <c r="D58" s="13" t="s">
        <v>339</v>
      </c>
      <c r="E58" s="13" t="s">
        <v>17</v>
      </c>
      <c r="F58" s="13" t="s">
        <v>614</v>
      </c>
      <c r="G58" s="13" t="s">
        <v>339</v>
      </c>
      <c r="H58" s="13" t="s">
        <v>339</v>
      </c>
      <c r="I58" s="18" t="s">
        <v>339</v>
      </c>
      <c r="J58" s="20" t="s">
        <v>339</v>
      </c>
      <c r="K58" s="19">
        <v>45941</v>
      </c>
      <c r="L58" s="20">
        <v>21000</v>
      </c>
      <c r="M58" s="20">
        <f>+L58*5%</f>
        <v>1050</v>
      </c>
      <c r="N58" s="20">
        <v>200</v>
      </c>
      <c r="O58" s="18"/>
      <c r="P58" s="18" t="s">
        <v>615</v>
      </c>
    </row>
    <row r="59" spans="1:16" s="5" customFormat="1" x14ac:dyDescent="0.25">
      <c r="A59" s="13">
        <v>5</v>
      </c>
      <c r="B59" s="13" t="s">
        <v>40</v>
      </c>
      <c r="C59" s="13" t="s">
        <v>225</v>
      </c>
      <c r="D59" s="13">
        <v>268294</v>
      </c>
      <c r="E59" s="13" t="s">
        <v>17</v>
      </c>
      <c r="F59" s="13" t="s">
        <v>217</v>
      </c>
      <c r="G59" s="13" t="s">
        <v>19</v>
      </c>
      <c r="H59" s="13" t="s">
        <v>20</v>
      </c>
      <c r="I59" s="19">
        <v>45686</v>
      </c>
      <c r="J59" s="20">
        <v>23000</v>
      </c>
      <c r="K59" s="19">
        <v>45943</v>
      </c>
      <c r="L59" s="20">
        <v>23000</v>
      </c>
      <c r="M59" s="20">
        <f>+L59*5%</f>
        <v>1150</v>
      </c>
      <c r="N59" s="20">
        <v>250</v>
      </c>
      <c r="O59" s="18"/>
      <c r="P59" s="18" t="s">
        <v>616</v>
      </c>
    </row>
    <row r="60" spans="1:16" s="5" customFormat="1" ht="15.75" thickBot="1" x14ac:dyDescent="0.3">
      <c r="A60" s="13">
        <v>6</v>
      </c>
      <c r="B60" s="13" t="s">
        <v>16</v>
      </c>
      <c r="C60" s="13" t="s">
        <v>594</v>
      </c>
      <c r="D60" s="13">
        <v>300310</v>
      </c>
      <c r="E60" s="13" t="s">
        <v>17</v>
      </c>
      <c r="F60" s="13" t="s">
        <v>593</v>
      </c>
      <c r="G60" s="13" t="s">
        <v>24</v>
      </c>
      <c r="H60" s="13" t="s">
        <v>20</v>
      </c>
      <c r="I60" s="14">
        <v>45922</v>
      </c>
      <c r="J60" s="15">
        <v>18000</v>
      </c>
      <c r="K60" s="14">
        <v>45950</v>
      </c>
      <c r="L60" s="15">
        <v>17500</v>
      </c>
      <c r="M60" s="15">
        <v>1000</v>
      </c>
      <c r="N60" s="15">
        <v>200</v>
      </c>
      <c r="O60" s="48" t="s">
        <v>199</v>
      </c>
      <c r="P60" s="13" t="s">
        <v>617</v>
      </c>
    </row>
    <row r="61" spans="1:16" s="5" customFormat="1" ht="16.5" thickBot="1" x14ac:dyDescent="0.3">
      <c r="A61" s="193" t="s">
        <v>176</v>
      </c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5"/>
    </row>
    <row r="62" spans="1:16" s="5" customFormat="1" x14ac:dyDescent="0.25">
      <c r="A62" s="13">
        <v>1</v>
      </c>
      <c r="B62" s="18" t="s">
        <v>16</v>
      </c>
      <c r="C62" s="18" t="s">
        <v>518</v>
      </c>
      <c r="D62" s="18">
        <v>292137</v>
      </c>
      <c r="E62" s="18" t="s">
        <v>17</v>
      </c>
      <c r="F62" s="18" t="s">
        <v>519</v>
      </c>
      <c r="G62" s="18" t="s">
        <v>24</v>
      </c>
      <c r="H62" s="18" t="s">
        <v>20</v>
      </c>
      <c r="I62" s="14">
        <v>45859</v>
      </c>
      <c r="J62" s="15">
        <v>20500</v>
      </c>
      <c r="K62" s="14">
        <v>45964</v>
      </c>
      <c r="L62" s="15">
        <v>20000</v>
      </c>
      <c r="M62" s="15">
        <v>1000</v>
      </c>
      <c r="N62" s="15">
        <v>200</v>
      </c>
      <c r="O62" s="13"/>
      <c r="P62" s="13"/>
    </row>
    <row r="63" spans="1:16" s="5" customFormat="1" x14ac:dyDescent="0.25">
      <c r="A63" s="13">
        <v>2</v>
      </c>
      <c r="B63" s="13" t="s">
        <v>40</v>
      </c>
      <c r="C63" s="13" t="s">
        <v>178</v>
      </c>
      <c r="D63" s="13">
        <v>259811</v>
      </c>
      <c r="E63" s="13" t="s">
        <v>17</v>
      </c>
      <c r="F63" s="13" t="s">
        <v>179</v>
      </c>
      <c r="G63" s="13" t="s">
        <v>24</v>
      </c>
      <c r="H63" s="13" t="s">
        <v>20</v>
      </c>
      <c r="I63" s="14">
        <v>45604</v>
      </c>
      <c r="J63" s="15">
        <v>25000</v>
      </c>
      <c r="K63" s="14">
        <v>45966</v>
      </c>
      <c r="L63" s="15">
        <v>25000</v>
      </c>
      <c r="M63" s="15">
        <v>1500</v>
      </c>
      <c r="N63" s="15">
        <v>250</v>
      </c>
      <c r="O63" s="13"/>
      <c r="P63" s="13"/>
    </row>
    <row r="64" spans="1:16" s="5" customFormat="1" x14ac:dyDescent="0.25">
      <c r="A64" s="5">
        <v>3</v>
      </c>
      <c r="B64" s="5" t="s">
        <v>40</v>
      </c>
      <c r="C64" s="5" t="s">
        <v>339</v>
      </c>
      <c r="D64" s="5" t="s">
        <v>339</v>
      </c>
      <c r="E64" s="5" t="s">
        <v>36</v>
      </c>
      <c r="F64" s="5" t="s">
        <v>659</v>
      </c>
      <c r="G64" s="5" t="s">
        <v>339</v>
      </c>
      <c r="H64" s="5" t="s">
        <v>339</v>
      </c>
      <c r="I64" s="182" t="s">
        <v>339</v>
      </c>
      <c r="K64" s="182">
        <v>45969</v>
      </c>
      <c r="L64" s="15">
        <v>31500</v>
      </c>
      <c r="M64" s="15">
        <f>+L64*5%</f>
        <v>1575</v>
      </c>
      <c r="N64" s="15" t="s">
        <v>339</v>
      </c>
      <c r="O64" s="13"/>
      <c r="P64" s="13"/>
    </row>
    <row r="65" spans="1:16" s="5" customFormat="1" x14ac:dyDescent="0.25">
      <c r="A65" s="13">
        <v>4</v>
      </c>
      <c r="B65" s="13" t="s">
        <v>380</v>
      </c>
      <c r="C65" s="13" t="s">
        <v>339</v>
      </c>
      <c r="D65" s="13" t="s">
        <v>339</v>
      </c>
      <c r="E65" s="13" t="s">
        <v>36</v>
      </c>
      <c r="F65" s="13" t="s">
        <v>630</v>
      </c>
      <c r="G65" s="13" t="s">
        <v>339</v>
      </c>
      <c r="H65" s="13" t="s">
        <v>20</v>
      </c>
      <c r="I65" s="14" t="s">
        <v>339</v>
      </c>
      <c r="J65" s="15">
        <v>21500</v>
      </c>
      <c r="K65" s="14">
        <v>45974</v>
      </c>
      <c r="L65" s="15">
        <v>21500</v>
      </c>
      <c r="M65" s="15">
        <f>+L65*5%</f>
        <v>1075</v>
      </c>
      <c r="N65" s="15">
        <v>250</v>
      </c>
      <c r="O65" s="13"/>
      <c r="P65" s="13"/>
    </row>
    <row r="66" spans="1:16" s="5" customFormat="1" x14ac:dyDescent="0.25">
      <c r="A66" s="13">
        <v>5</v>
      </c>
      <c r="B66" s="18" t="s">
        <v>16</v>
      </c>
      <c r="C66" s="18" t="s">
        <v>643</v>
      </c>
      <c r="D66" s="18">
        <v>307320</v>
      </c>
      <c r="E66" s="18" t="s">
        <v>17</v>
      </c>
      <c r="F66" s="18" t="s">
        <v>77</v>
      </c>
      <c r="G66" s="18" t="s">
        <v>19</v>
      </c>
      <c r="H66" s="18" t="s">
        <v>20</v>
      </c>
      <c r="I66" s="14">
        <v>45975</v>
      </c>
      <c r="J66" s="15">
        <v>48000</v>
      </c>
      <c r="K66" s="14">
        <v>45976</v>
      </c>
      <c r="L66" s="15">
        <v>48000</v>
      </c>
      <c r="M66" s="15">
        <f>+L66*5%</f>
        <v>2400</v>
      </c>
      <c r="N66" s="15">
        <v>250</v>
      </c>
      <c r="O66" s="13"/>
      <c r="P66" s="13"/>
    </row>
    <row r="67" spans="1:16" s="5" customFormat="1" x14ac:dyDescent="0.25">
      <c r="A67" s="13">
        <v>6</v>
      </c>
      <c r="B67" s="13" t="s">
        <v>16</v>
      </c>
      <c r="C67" s="13" t="s">
        <v>152</v>
      </c>
      <c r="D67" s="13">
        <v>252305</v>
      </c>
      <c r="E67" s="13" t="s">
        <v>33</v>
      </c>
      <c r="F67" s="13" t="s">
        <v>153</v>
      </c>
      <c r="G67" s="13" t="s">
        <v>19</v>
      </c>
      <c r="H67" s="13" t="s">
        <v>20</v>
      </c>
      <c r="I67" s="14">
        <v>45909</v>
      </c>
      <c r="J67" s="15">
        <v>29000</v>
      </c>
      <c r="K67" s="14">
        <v>45979</v>
      </c>
      <c r="L67" s="15">
        <v>25000</v>
      </c>
      <c r="M67" s="15">
        <v>1250</v>
      </c>
      <c r="N67" s="15" t="s">
        <v>339</v>
      </c>
      <c r="O67" s="13"/>
      <c r="P67" s="13"/>
    </row>
    <row r="68" spans="1:16" s="5" customFormat="1" x14ac:dyDescent="0.25">
      <c r="A68" s="13">
        <v>7</v>
      </c>
      <c r="B68" s="18" t="s">
        <v>380</v>
      </c>
      <c r="C68" s="18" t="s">
        <v>533</v>
      </c>
      <c r="D68" s="18">
        <v>293057</v>
      </c>
      <c r="E68" s="18" t="s">
        <v>17</v>
      </c>
      <c r="F68" s="18" t="s">
        <v>534</v>
      </c>
      <c r="G68" s="18" t="s">
        <v>19</v>
      </c>
      <c r="H68" s="18" t="s">
        <v>20</v>
      </c>
      <c r="I68" s="19">
        <v>45867</v>
      </c>
      <c r="J68" s="20">
        <v>35000</v>
      </c>
      <c r="K68" s="14">
        <v>45981</v>
      </c>
      <c r="L68" s="15">
        <v>33500</v>
      </c>
      <c r="M68" s="15">
        <f>+L68*5%</f>
        <v>1675</v>
      </c>
      <c r="N68" s="15">
        <v>250</v>
      </c>
      <c r="O68" s="13"/>
      <c r="P68" s="13"/>
    </row>
    <row r="69" spans="1:16" s="5" customFormat="1" ht="15.75" thickBot="1" x14ac:dyDescent="0.3">
      <c r="A69" s="13">
        <v>8</v>
      </c>
      <c r="B69" s="13" t="s">
        <v>380</v>
      </c>
      <c r="C69" s="13" t="s">
        <v>339</v>
      </c>
      <c r="D69" s="13" t="s">
        <v>339</v>
      </c>
      <c r="E69" s="13" t="s">
        <v>17</v>
      </c>
      <c r="F69" s="13" t="s">
        <v>672</v>
      </c>
      <c r="G69" s="13" t="s">
        <v>339</v>
      </c>
      <c r="H69" s="13" t="s">
        <v>339</v>
      </c>
      <c r="I69" s="13" t="s">
        <v>339</v>
      </c>
      <c r="J69" s="15" t="s">
        <v>339</v>
      </c>
      <c r="K69" s="14">
        <v>45981</v>
      </c>
      <c r="L69" s="15">
        <v>40000</v>
      </c>
      <c r="M69" s="15">
        <f>+L69*5%</f>
        <v>2000</v>
      </c>
      <c r="N69" s="15">
        <v>250</v>
      </c>
      <c r="O69" s="13"/>
      <c r="P69" s="13"/>
    </row>
    <row r="70" spans="1:16" s="5" customFormat="1" ht="16.5" thickBot="1" x14ac:dyDescent="0.3">
      <c r="A70" s="193" t="s">
        <v>191</v>
      </c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5"/>
    </row>
    <row r="71" spans="1:16" s="5" customForma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5"/>
      <c r="K71" s="13"/>
      <c r="L71" s="15"/>
      <c r="M71" s="15"/>
      <c r="N71" s="15"/>
      <c r="O71" s="13"/>
      <c r="P71" s="13"/>
    </row>
    <row r="72" spans="1:16" s="5" customForma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5"/>
      <c r="K72" s="13"/>
      <c r="L72" s="15"/>
      <c r="M72" s="15"/>
      <c r="N72" s="15"/>
      <c r="O72" s="13"/>
      <c r="P72" s="13"/>
    </row>
    <row r="73" spans="1:16" s="5" customForma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5"/>
      <c r="K73" s="13"/>
      <c r="L73" s="15"/>
      <c r="M73" s="15"/>
      <c r="N73" s="15"/>
      <c r="O73" s="13"/>
      <c r="P73" s="13"/>
    </row>
    <row r="74" spans="1:16" s="5" customForma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5"/>
      <c r="K74" s="13"/>
      <c r="L74" s="15"/>
      <c r="M74" s="15"/>
      <c r="N74" s="15"/>
      <c r="O74" s="13"/>
      <c r="P74" s="13"/>
    </row>
    <row r="75" spans="1:16" s="5" customForma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5"/>
      <c r="K75" s="13"/>
      <c r="L75" s="15"/>
      <c r="M75" s="15"/>
      <c r="N75" s="15"/>
      <c r="O75" s="13"/>
      <c r="P75" s="13"/>
    </row>
    <row r="76" spans="1:16" s="5" customForma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5"/>
      <c r="K76" s="13"/>
      <c r="L76" s="15"/>
      <c r="M76" s="15"/>
      <c r="N76" s="15"/>
      <c r="O76" s="13"/>
      <c r="P76" s="13"/>
    </row>
    <row r="77" spans="1:16" s="5" customForma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5"/>
      <c r="K77" s="13"/>
      <c r="L77" s="15"/>
      <c r="M77" s="15"/>
      <c r="N77" s="15"/>
      <c r="O77" s="13"/>
      <c r="P77" s="13"/>
    </row>
    <row r="78" spans="1:16" s="5" customForma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5"/>
      <c r="K78" s="13"/>
      <c r="L78" s="15"/>
      <c r="M78" s="15"/>
      <c r="N78" s="15"/>
      <c r="O78" s="13"/>
      <c r="P78" s="13"/>
    </row>
    <row r="79" spans="1:16" s="78" customFormat="1" x14ac:dyDescent="0.2">
      <c r="A79" s="83"/>
      <c r="B79" s="83"/>
      <c r="C79" s="83"/>
      <c r="D79" s="83"/>
      <c r="E79" s="83"/>
      <c r="F79" s="83"/>
      <c r="G79" s="83"/>
      <c r="H79" s="83"/>
      <c r="I79" s="83"/>
      <c r="J79" s="84"/>
      <c r="K79" s="83"/>
      <c r="L79" s="84"/>
      <c r="M79" s="84"/>
      <c r="N79" s="84"/>
      <c r="O79" s="83"/>
      <c r="P79" s="83"/>
    </row>
    <row r="80" spans="1:16" s="78" customFormat="1" x14ac:dyDescent="0.2">
      <c r="A80" s="83"/>
      <c r="B80" s="83"/>
      <c r="C80" s="83"/>
      <c r="D80" s="83"/>
      <c r="E80" s="83"/>
      <c r="F80" s="83"/>
      <c r="G80" s="83"/>
      <c r="H80" s="83"/>
      <c r="I80" s="83"/>
      <c r="J80" s="84"/>
      <c r="K80" s="83"/>
      <c r="L80" s="84"/>
      <c r="M80" s="84"/>
      <c r="N80" s="84"/>
      <c r="O80" s="83"/>
      <c r="P80" s="83"/>
    </row>
    <row r="81" spans="1:16" s="78" customFormat="1" x14ac:dyDescent="0.2">
      <c r="A81" s="83"/>
      <c r="B81" s="83"/>
      <c r="C81" s="83"/>
      <c r="D81" s="83"/>
      <c r="E81" s="83"/>
      <c r="F81" s="83"/>
      <c r="G81" s="83"/>
      <c r="H81" s="83"/>
      <c r="I81" s="83"/>
      <c r="J81" s="84"/>
      <c r="K81" s="83"/>
      <c r="L81" s="84"/>
      <c r="M81" s="84"/>
      <c r="N81" s="84"/>
      <c r="O81" s="83"/>
      <c r="P81" s="83"/>
    </row>
    <row r="82" spans="1:16" s="78" customFormat="1" x14ac:dyDescent="0.2">
      <c r="A82" s="83"/>
      <c r="B82" s="83"/>
      <c r="C82" s="83"/>
      <c r="D82" s="83"/>
      <c r="E82" s="83"/>
      <c r="F82" s="83"/>
      <c r="G82" s="83"/>
      <c r="H82" s="83"/>
      <c r="I82" s="83"/>
      <c r="J82" s="84"/>
      <c r="K82" s="83"/>
      <c r="L82" s="84"/>
      <c r="M82" s="84"/>
      <c r="N82" s="84"/>
      <c r="O82" s="83"/>
      <c r="P82" s="83"/>
    </row>
    <row r="83" spans="1:16" s="78" customFormat="1" x14ac:dyDescent="0.2">
      <c r="A83" s="83"/>
      <c r="B83" s="83"/>
      <c r="C83" s="83"/>
      <c r="D83" s="83"/>
      <c r="E83" s="83"/>
      <c r="F83" s="83"/>
      <c r="G83" s="83"/>
      <c r="H83" s="83"/>
      <c r="I83" s="83"/>
      <c r="J83" s="84"/>
      <c r="K83" s="83"/>
      <c r="L83" s="84"/>
      <c r="M83" s="84"/>
      <c r="N83" s="84"/>
      <c r="O83" s="83"/>
      <c r="P83" s="83"/>
    </row>
    <row r="84" spans="1:16" s="78" customFormat="1" x14ac:dyDescent="0.2">
      <c r="A84" s="83"/>
      <c r="B84" s="83"/>
      <c r="C84" s="83"/>
      <c r="D84" s="83"/>
      <c r="E84" s="83"/>
      <c r="F84" s="83"/>
      <c r="G84" s="83"/>
      <c r="H84" s="83"/>
      <c r="I84" s="83"/>
      <c r="J84" s="84"/>
      <c r="K84" s="83"/>
      <c r="L84" s="84"/>
      <c r="M84" s="84"/>
      <c r="N84" s="84"/>
      <c r="O84" s="83"/>
      <c r="P84" s="83"/>
    </row>
    <row r="85" spans="1:16" s="78" customFormat="1" x14ac:dyDescent="0.2">
      <c r="A85" s="83"/>
      <c r="B85" s="83"/>
      <c r="C85" s="83"/>
      <c r="D85" s="83"/>
      <c r="E85" s="83"/>
      <c r="F85" s="83"/>
      <c r="G85" s="83"/>
      <c r="H85" s="83"/>
      <c r="I85" s="83"/>
      <c r="J85" s="84"/>
      <c r="K85" s="83"/>
      <c r="L85" s="84"/>
      <c r="M85" s="84"/>
      <c r="N85" s="84"/>
      <c r="O85" s="83"/>
      <c r="P85" s="83"/>
    </row>
    <row r="86" spans="1:16" s="78" customFormat="1" x14ac:dyDescent="0.2">
      <c r="A86" s="83"/>
      <c r="B86" s="83"/>
      <c r="C86" s="83"/>
      <c r="D86" s="83"/>
      <c r="E86" s="83"/>
      <c r="F86" s="83"/>
      <c r="G86" s="83"/>
      <c r="H86" s="83"/>
      <c r="I86" s="83"/>
      <c r="J86" s="84"/>
      <c r="K86" s="83"/>
      <c r="L86" s="84"/>
      <c r="M86" s="84"/>
      <c r="N86" s="84"/>
      <c r="O86" s="83"/>
      <c r="P86" s="83"/>
    </row>
    <row r="87" spans="1:16" s="78" customFormat="1" x14ac:dyDescent="0.2">
      <c r="A87" s="83"/>
      <c r="B87" s="83"/>
      <c r="C87" s="83"/>
      <c r="D87" s="83"/>
      <c r="E87" s="83"/>
      <c r="F87" s="83"/>
      <c r="G87" s="83"/>
      <c r="H87" s="83"/>
      <c r="I87" s="83"/>
      <c r="J87" s="84"/>
      <c r="K87" s="83"/>
      <c r="L87" s="84"/>
      <c r="M87" s="84"/>
      <c r="N87" s="84"/>
      <c r="O87" s="83"/>
      <c r="P87" s="83"/>
    </row>
    <row r="88" spans="1:16" s="78" customFormat="1" x14ac:dyDescent="0.2">
      <c r="A88" s="83"/>
      <c r="B88" s="83"/>
      <c r="C88" s="83"/>
      <c r="D88" s="83"/>
      <c r="E88" s="83"/>
      <c r="F88" s="83"/>
      <c r="G88" s="83"/>
      <c r="H88" s="83"/>
      <c r="I88" s="83"/>
      <c r="J88" s="84"/>
      <c r="K88" s="83"/>
      <c r="L88" s="84"/>
      <c r="M88" s="84"/>
      <c r="N88" s="84"/>
      <c r="O88" s="83"/>
      <c r="P88" s="83"/>
    </row>
    <row r="89" spans="1:16" s="78" customFormat="1" x14ac:dyDescent="0.2">
      <c r="A89" s="83"/>
      <c r="B89" s="83"/>
      <c r="C89" s="83"/>
      <c r="D89" s="83"/>
      <c r="E89" s="83"/>
      <c r="F89" s="83"/>
      <c r="G89" s="83"/>
      <c r="H89" s="83"/>
      <c r="I89" s="83"/>
      <c r="J89" s="84"/>
      <c r="K89" s="83"/>
      <c r="L89" s="84"/>
      <c r="M89" s="84"/>
      <c r="N89" s="84"/>
      <c r="O89" s="83"/>
      <c r="P89" s="83"/>
    </row>
    <row r="90" spans="1:16" s="78" customFormat="1" x14ac:dyDescent="0.2">
      <c r="A90" s="83"/>
      <c r="B90" s="83"/>
      <c r="C90" s="83"/>
      <c r="D90" s="83"/>
      <c r="E90" s="83"/>
      <c r="F90" s="83"/>
      <c r="G90" s="83"/>
      <c r="H90" s="83"/>
      <c r="I90" s="83"/>
      <c r="J90" s="84"/>
      <c r="K90" s="83"/>
      <c r="L90" s="84"/>
      <c r="M90" s="84"/>
      <c r="N90" s="84"/>
      <c r="O90" s="83"/>
      <c r="P90" s="83"/>
    </row>
    <row r="91" spans="1:16" x14ac:dyDescent="0.25">
      <c r="A91" s="50"/>
      <c r="B91" s="50"/>
      <c r="C91" s="50"/>
      <c r="D91" s="50"/>
      <c r="E91" s="50"/>
      <c r="F91" s="50"/>
      <c r="G91" s="50"/>
      <c r="H91" s="50"/>
      <c r="I91" s="50"/>
      <c r="J91" s="93"/>
      <c r="K91" s="50"/>
      <c r="L91" s="93"/>
      <c r="M91" s="93"/>
      <c r="N91" s="93"/>
      <c r="O91" s="50"/>
      <c r="P91" s="50"/>
    </row>
    <row r="92" spans="1:16" x14ac:dyDescent="0.25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</row>
  </sheetData>
  <mergeCells count="14">
    <mergeCell ref="B3:L3"/>
    <mergeCell ref="A7:P7"/>
    <mergeCell ref="A15:P15"/>
    <mergeCell ref="A18:P18"/>
    <mergeCell ref="A38:P38"/>
    <mergeCell ref="A34:P34"/>
    <mergeCell ref="A28:P28"/>
    <mergeCell ref="A24:P24"/>
    <mergeCell ref="A12:P12"/>
    <mergeCell ref="A70:P70"/>
    <mergeCell ref="A61:P61"/>
    <mergeCell ref="A54:P54"/>
    <mergeCell ref="A49:P49"/>
    <mergeCell ref="A42:P42"/>
  </mergeCells>
  <pageMargins left="0.7" right="0.7" top="0.75" bottom="0.75" header="0.3" footer="0.3"/>
  <pageSetup orientation="portrait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7972-1083-4B18-B930-819DCEEC843C}">
  <sheetPr>
    <tabColor theme="5" tint="0.79998168889431442"/>
  </sheetPr>
  <dimension ref="A1:L334"/>
  <sheetViews>
    <sheetView topLeftCell="A54" workbookViewId="0">
      <selection activeCell="F90" sqref="F90"/>
    </sheetView>
  </sheetViews>
  <sheetFormatPr baseColWidth="10" defaultRowHeight="15" x14ac:dyDescent="0.25"/>
  <cols>
    <col min="1" max="1" width="6.7109375" customWidth="1"/>
    <col min="2" max="2" width="19.42578125" customWidth="1"/>
    <col min="3" max="3" width="14.140625" customWidth="1"/>
    <col min="4" max="4" width="12.42578125" customWidth="1"/>
    <col min="5" max="5" width="21.85546875" customWidth="1"/>
    <col min="6" max="6" width="38.85546875" bestFit="1" customWidth="1"/>
    <col min="7" max="7" width="9.28515625" customWidth="1"/>
    <col min="8" max="8" width="8" customWidth="1"/>
    <col min="9" max="9" width="20" customWidth="1"/>
    <col min="10" max="10" width="17.7109375" customWidth="1"/>
    <col min="11" max="11" width="32" bestFit="1" customWidth="1"/>
    <col min="12" max="12" width="41.85546875" customWidth="1"/>
  </cols>
  <sheetData>
    <row r="1" spans="1:12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5"/>
      <c r="B2" s="5"/>
      <c r="C2" s="5"/>
      <c r="D2" s="72"/>
      <c r="E2" s="5"/>
      <c r="F2" s="5"/>
      <c r="G2" s="5"/>
      <c r="H2" s="5"/>
      <c r="I2" s="5"/>
      <c r="J2" s="5"/>
      <c r="K2" s="5"/>
      <c r="L2" s="5"/>
    </row>
    <row r="3" spans="1:12" ht="15.75" x14ac:dyDescent="0.25">
      <c r="A3" s="196" t="s">
        <v>210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</row>
    <row r="4" spans="1:12" x14ac:dyDescent="0.25">
      <c r="A4" s="5"/>
      <c r="B4" s="5"/>
      <c r="C4" s="5"/>
      <c r="D4" s="5"/>
      <c r="E4" s="5"/>
      <c r="F4" s="5" t="s">
        <v>1</v>
      </c>
      <c r="G4" s="5"/>
      <c r="H4" s="5"/>
      <c r="I4" s="5"/>
      <c r="J4" s="5"/>
      <c r="K4" s="5"/>
      <c r="L4" s="5"/>
    </row>
    <row r="5" spans="1:12" ht="15.7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32.25" thickBot="1" x14ac:dyDescent="0.3">
      <c r="A6" s="74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211</v>
      </c>
      <c r="J6" s="9" t="s">
        <v>205</v>
      </c>
      <c r="K6" s="9" t="s">
        <v>212</v>
      </c>
      <c r="L6" s="75" t="s">
        <v>14</v>
      </c>
    </row>
    <row r="7" spans="1:12" ht="16.5" thickBot="1" x14ac:dyDescent="0.3">
      <c r="A7" s="200" t="s">
        <v>213</v>
      </c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2"/>
    </row>
    <row r="8" spans="1:12" x14ac:dyDescent="0.25">
      <c r="A8" s="36">
        <v>1</v>
      </c>
      <c r="B8" s="36" t="s">
        <v>21</v>
      </c>
      <c r="C8" s="36" t="s">
        <v>216</v>
      </c>
      <c r="D8" s="36">
        <v>264490</v>
      </c>
      <c r="E8" s="36" t="s">
        <v>193</v>
      </c>
      <c r="F8" s="36" t="s">
        <v>217</v>
      </c>
      <c r="G8" s="36" t="s">
        <v>24</v>
      </c>
      <c r="H8" s="36" t="s">
        <v>20</v>
      </c>
      <c r="I8" s="37">
        <v>45660</v>
      </c>
      <c r="J8" s="38">
        <v>20000</v>
      </c>
      <c r="K8" s="36"/>
      <c r="L8" s="36"/>
    </row>
    <row r="9" spans="1:12" ht="15.75" thickBot="1" x14ac:dyDescent="0.3">
      <c r="A9" s="13">
        <v>2</v>
      </c>
      <c r="B9" s="13" t="s">
        <v>16</v>
      </c>
      <c r="C9" s="13" t="s">
        <v>164</v>
      </c>
      <c r="D9" s="13">
        <v>255868</v>
      </c>
      <c r="E9" s="13" t="s">
        <v>33</v>
      </c>
      <c r="F9" s="13" t="s">
        <v>165</v>
      </c>
      <c r="G9" s="13" t="s">
        <v>19</v>
      </c>
      <c r="H9" s="13" t="s">
        <v>20</v>
      </c>
      <c r="I9" s="14">
        <v>45679</v>
      </c>
      <c r="J9" s="15">
        <v>29000</v>
      </c>
      <c r="K9" s="82" t="s">
        <v>220</v>
      </c>
      <c r="L9" s="13"/>
    </row>
    <row r="10" spans="1:12" ht="16.5" thickBot="1" x14ac:dyDescent="0.3">
      <c r="A10" s="200" t="s">
        <v>51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2"/>
    </row>
    <row r="11" spans="1:12" x14ac:dyDescent="0.25">
      <c r="A11" s="36">
        <v>1</v>
      </c>
      <c r="B11" s="18" t="s">
        <v>31</v>
      </c>
      <c r="C11" s="18" t="s">
        <v>190</v>
      </c>
      <c r="D11" s="18">
        <v>262063</v>
      </c>
      <c r="E11" s="18" t="s">
        <v>17</v>
      </c>
      <c r="F11" s="18" t="s">
        <v>46</v>
      </c>
      <c r="G11" s="18" t="s">
        <v>19</v>
      </c>
      <c r="H11" s="18" t="s">
        <v>20</v>
      </c>
      <c r="I11" s="37">
        <v>45696</v>
      </c>
      <c r="J11" s="38">
        <v>13800</v>
      </c>
      <c r="K11" s="36"/>
      <c r="L11" s="48" t="s">
        <v>221</v>
      </c>
    </row>
    <row r="12" spans="1:12" x14ac:dyDescent="0.25">
      <c r="A12" s="13">
        <v>2</v>
      </c>
      <c r="B12" s="13" t="s">
        <v>16</v>
      </c>
      <c r="C12" s="13" t="s">
        <v>182</v>
      </c>
      <c r="D12" s="13">
        <v>260211</v>
      </c>
      <c r="E12" s="13" t="s">
        <v>17</v>
      </c>
      <c r="F12" s="13" t="s">
        <v>96</v>
      </c>
      <c r="G12" s="13" t="s">
        <v>19</v>
      </c>
      <c r="H12" s="13" t="s">
        <v>20</v>
      </c>
      <c r="I12" s="14">
        <v>45698</v>
      </c>
      <c r="J12" s="15">
        <v>26500</v>
      </c>
      <c r="K12" s="82" t="s">
        <v>220</v>
      </c>
      <c r="L12" s="13"/>
    </row>
    <row r="13" spans="1:12" ht="15.75" thickBot="1" x14ac:dyDescent="0.3">
      <c r="A13" s="13">
        <v>3</v>
      </c>
      <c r="B13" s="13" t="s">
        <v>122</v>
      </c>
      <c r="C13" s="13" t="s">
        <v>241</v>
      </c>
      <c r="D13" s="13">
        <v>264499</v>
      </c>
      <c r="E13" s="13" t="s">
        <v>193</v>
      </c>
      <c r="F13" s="13" t="s">
        <v>27</v>
      </c>
      <c r="G13" s="77" t="s">
        <v>19</v>
      </c>
      <c r="H13" s="77" t="s">
        <v>20</v>
      </c>
      <c r="I13" s="14">
        <v>45703</v>
      </c>
      <c r="J13" s="15">
        <v>29000</v>
      </c>
      <c r="K13" s="53" t="s">
        <v>242</v>
      </c>
      <c r="L13" s="107" t="s">
        <v>243</v>
      </c>
    </row>
    <row r="14" spans="1:12" ht="16.5" thickBot="1" x14ac:dyDescent="0.3">
      <c r="A14" s="200" t="s">
        <v>66</v>
      </c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2"/>
    </row>
    <row r="15" spans="1:12" x14ac:dyDescent="0.25">
      <c r="A15" s="13">
        <v>1</v>
      </c>
      <c r="B15" s="13" t="s">
        <v>40</v>
      </c>
      <c r="C15" s="13" t="s">
        <v>265</v>
      </c>
      <c r="D15" s="13">
        <v>273713</v>
      </c>
      <c r="E15" s="13" t="s">
        <v>17</v>
      </c>
      <c r="F15" s="13" t="s">
        <v>266</v>
      </c>
      <c r="G15" s="13" t="s">
        <v>19</v>
      </c>
      <c r="H15" s="13" t="s">
        <v>20</v>
      </c>
      <c r="I15" s="14">
        <v>45723</v>
      </c>
      <c r="J15" s="15">
        <v>8300</v>
      </c>
      <c r="K15" s="13"/>
      <c r="L15" s="13"/>
    </row>
    <row r="16" spans="1:12" x14ac:dyDescent="0.25">
      <c r="A16" s="13">
        <v>2</v>
      </c>
      <c r="B16" s="13" t="s">
        <v>16</v>
      </c>
      <c r="C16" s="13" t="s">
        <v>185</v>
      </c>
      <c r="D16" s="13">
        <v>261265</v>
      </c>
      <c r="E16" s="13" t="s">
        <v>17</v>
      </c>
      <c r="F16" s="13" t="s">
        <v>186</v>
      </c>
      <c r="G16" s="77" t="s">
        <v>19</v>
      </c>
      <c r="H16" s="77" t="s">
        <v>20</v>
      </c>
      <c r="I16" s="14">
        <v>45726</v>
      </c>
      <c r="J16" s="15">
        <v>17500</v>
      </c>
      <c r="K16" s="13"/>
      <c r="L16" s="48" t="s">
        <v>289</v>
      </c>
    </row>
    <row r="17" spans="1:12" ht="15.75" thickBot="1" x14ac:dyDescent="0.3">
      <c r="A17" s="13">
        <v>3</v>
      </c>
      <c r="B17" s="18" t="s">
        <v>40</v>
      </c>
      <c r="C17" s="18" t="s">
        <v>343</v>
      </c>
      <c r="D17" s="18">
        <v>275633</v>
      </c>
      <c r="E17" s="18" t="s">
        <v>344</v>
      </c>
      <c r="F17" s="18" t="s">
        <v>345</v>
      </c>
      <c r="G17" s="13" t="s">
        <v>19</v>
      </c>
      <c r="H17" s="13" t="s">
        <v>25</v>
      </c>
      <c r="I17" s="37">
        <v>45736</v>
      </c>
      <c r="J17" s="38">
        <v>200</v>
      </c>
      <c r="K17" s="36"/>
      <c r="L17" s="13"/>
    </row>
    <row r="18" spans="1:12" ht="16.5" thickBot="1" x14ac:dyDescent="0.3">
      <c r="A18" s="200" t="s">
        <v>71</v>
      </c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2"/>
    </row>
    <row r="19" spans="1:12" x14ac:dyDescent="0.25">
      <c r="A19" s="13">
        <v>1</v>
      </c>
      <c r="B19" s="13" t="s">
        <v>40</v>
      </c>
      <c r="C19" s="13" t="s">
        <v>196</v>
      </c>
      <c r="D19" s="13">
        <v>263446</v>
      </c>
      <c r="E19" s="13" t="s">
        <v>33</v>
      </c>
      <c r="F19" s="13" t="s">
        <v>52</v>
      </c>
      <c r="G19" s="13" t="s">
        <v>19</v>
      </c>
      <c r="H19" s="13" t="s">
        <v>20</v>
      </c>
      <c r="I19" s="14">
        <v>45749</v>
      </c>
      <c r="J19" s="15">
        <v>29500</v>
      </c>
      <c r="K19" s="48" t="s">
        <v>369</v>
      </c>
      <c r="L19" s="13"/>
    </row>
    <row r="20" spans="1:12" x14ac:dyDescent="0.25">
      <c r="A20" s="13">
        <v>2</v>
      </c>
      <c r="B20" s="13" t="s">
        <v>122</v>
      </c>
      <c r="C20" s="13" t="s">
        <v>168</v>
      </c>
      <c r="D20" s="13">
        <v>256574</v>
      </c>
      <c r="E20" s="13" t="s">
        <v>17</v>
      </c>
      <c r="F20" s="13" t="s">
        <v>169</v>
      </c>
      <c r="G20" s="13" t="s">
        <v>19</v>
      </c>
      <c r="H20" s="13" t="s">
        <v>20</v>
      </c>
      <c r="I20" s="14">
        <v>45776</v>
      </c>
      <c r="J20" s="15">
        <v>40000</v>
      </c>
      <c r="K20" s="150" t="str">
        <f>+Puntas!N21</f>
        <v>VIP Cristal - Fulvio Marinoni</v>
      </c>
      <c r="L20" s="48" t="str">
        <f>+Puntas!O21</f>
        <v>Alianza con Margaret</v>
      </c>
    </row>
    <row r="21" spans="1:12" ht="15.75" thickBot="1" x14ac:dyDescent="0.3">
      <c r="A21" s="13">
        <v>3</v>
      </c>
      <c r="B21" s="13" t="s">
        <v>31</v>
      </c>
      <c r="C21" s="13" t="s">
        <v>293</v>
      </c>
      <c r="D21" s="13">
        <v>264023</v>
      </c>
      <c r="E21" s="13" t="s">
        <v>193</v>
      </c>
      <c r="F21" s="13" t="s">
        <v>294</v>
      </c>
      <c r="G21" s="13" t="s">
        <v>19</v>
      </c>
      <c r="H21" s="13" t="s">
        <v>25</v>
      </c>
      <c r="I21" s="14">
        <v>45777</v>
      </c>
      <c r="J21" s="15">
        <v>160</v>
      </c>
      <c r="K21" s="13"/>
      <c r="L21" s="13"/>
    </row>
    <row r="22" spans="1:12" ht="16.5" thickBot="1" x14ac:dyDescent="0.3">
      <c r="A22" s="200" t="s">
        <v>87</v>
      </c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2"/>
    </row>
    <row r="23" spans="1:12" x14ac:dyDescent="0.25">
      <c r="A23" s="13">
        <v>1</v>
      </c>
      <c r="B23" s="18" t="s">
        <v>16</v>
      </c>
      <c r="C23" s="18" t="s">
        <v>141</v>
      </c>
      <c r="D23" s="18">
        <v>250486</v>
      </c>
      <c r="E23" s="18" t="s">
        <v>17</v>
      </c>
      <c r="F23" s="85" t="s">
        <v>142</v>
      </c>
      <c r="G23" s="13" t="s">
        <v>19</v>
      </c>
      <c r="H23" s="13" t="s">
        <v>20</v>
      </c>
      <c r="I23" s="37">
        <v>45783</v>
      </c>
      <c r="J23" s="38">
        <v>10500</v>
      </c>
      <c r="K23" s="36"/>
      <c r="L23" s="13"/>
    </row>
    <row r="24" spans="1:12" x14ac:dyDescent="0.25">
      <c r="A24" s="13">
        <v>2</v>
      </c>
      <c r="B24" s="13" t="s">
        <v>31</v>
      </c>
      <c r="C24" s="13" t="s">
        <v>339</v>
      </c>
      <c r="D24" s="13" t="s">
        <v>339</v>
      </c>
      <c r="E24" s="13" t="s">
        <v>17</v>
      </c>
      <c r="F24" s="13" t="s">
        <v>217</v>
      </c>
      <c r="G24" s="13" t="s">
        <v>339</v>
      </c>
      <c r="H24" s="13" t="s">
        <v>339</v>
      </c>
      <c r="I24" s="14">
        <v>45786</v>
      </c>
      <c r="J24" s="15">
        <v>18000</v>
      </c>
      <c r="K24" s="13"/>
      <c r="L24" s="13"/>
    </row>
    <row r="25" spans="1:12" x14ac:dyDescent="0.25">
      <c r="A25" s="13">
        <v>3</v>
      </c>
      <c r="B25" s="13" t="s">
        <v>40</v>
      </c>
      <c r="C25" s="13" t="s">
        <v>287</v>
      </c>
      <c r="D25" s="13">
        <v>273978</v>
      </c>
      <c r="E25" s="13" t="s">
        <v>17</v>
      </c>
      <c r="F25" s="13" t="s">
        <v>288</v>
      </c>
      <c r="G25" s="13" t="s">
        <v>19</v>
      </c>
      <c r="H25" s="13" t="s">
        <v>20</v>
      </c>
      <c r="I25" s="14">
        <v>45786</v>
      </c>
      <c r="J25" s="15">
        <v>23000</v>
      </c>
      <c r="K25" s="13"/>
      <c r="L25" s="13"/>
    </row>
    <row r="26" spans="1:12" x14ac:dyDescent="0.25">
      <c r="A26" s="13">
        <v>4</v>
      </c>
      <c r="B26" s="13" t="s">
        <v>16</v>
      </c>
      <c r="C26" s="13" t="s">
        <v>152</v>
      </c>
      <c r="D26" s="13">
        <v>252305</v>
      </c>
      <c r="E26" s="13" t="s">
        <v>33</v>
      </c>
      <c r="F26" s="13" t="s">
        <v>153</v>
      </c>
      <c r="G26" s="13" t="s">
        <v>19</v>
      </c>
      <c r="H26" s="13" t="s">
        <v>20</v>
      </c>
      <c r="I26" s="37">
        <v>45787</v>
      </c>
      <c r="J26" s="38">
        <v>25000</v>
      </c>
      <c r="K26" s="48" t="s">
        <v>417</v>
      </c>
      <c r="L26" s="13"/>
    </row>
    <row r="27" spans="1:12" x14ac:dyDescent="0.25">
      <c r="A27" s="13">
        <v>5</v>
      </c>
      <c r="B27" s="18" t="s">
        <v>31</v>
      </c>
      <c r="C27" s="18" t="s">
        <v>358</v>
      </c>
      <c r="D27" s="18">
        <v>276706</v>
      </c>
      <c r="E27" s="18" t="s">
        <v>17</v>
      </c>
      <c r="F27" s="18" t="s">
        <v>370</v>
      </c>
      <c r="G27" s="13" t="s">
        <v>24</v>
      </c>
      <c r="H27" s="13" t="s">
        <v>20</v>
      </c>
      <c r="I27" s="37">
        <v>45797</v>
      </c>
      <c r="J27" s="38">
        <v>21500</v>
      </c>
      <c r="K27" s="48" t="s">
        <v>437</v>
      </c>
      <c r="L27" s="48" t="s">
        <v>371</v>
      </c>
    </row>
    <row r="28" spans="1:12" x14ac:dyDescent="0.25">
      <c r="A28" s="13">
        <v>6</v>
      </c>
      <c r="B28" s="18" t="s">
        <v>122</v>
      </c>
      <c r="C28" s="18" t="s">
        <v>427</v>
      </c>
      <c r="D28" s="18">
        <v>284488</v>
      </c>
      <c r="E28" s="18" t="s">
        <v>93</v>
      </c>
      <c r="F28" s="18" t="s">
        <v>104</v>
      </c>
      <c r="G28" s="18" t="s">
        <v>19</v>
      </c>
      <c r="H28" s="18" t="s">
        <v>25</v>
      </c>
      <c r="I28" s="14">
        <v>45804</v>
      </c>
      <c r="J28" s="15">
        <v>500</v>
      </c>
      <c r="K28" s="13"/>
      <c r="L28" s="13"/>
    </row>
    <row r="29" spans="1:12" ht="15.75" thickBot="1" x14ac:dyDescent="0.3">
      <c r="A29" s="13">
        <v>7</v>
      </c>
      <c r="B29" s="18" t="s">
        <v>387</v>
      </c>
      <c r="C29" s="18" t="s">
        <v>392</v>
      </c>
      <c r="D29" s="18">
        <v>280338</v>
      </c>
      <c r="E29" s="18" t="s">
        <v>17</v>
      </c>
      <c r="F29" s="18" t="s">
        <v>393</v>
      </c>
      <c r="G29" s="77" t="s">
        <v>19</v>
      </c>
      <c r="H29" s="77" t="s">
        <v>20</v>
      </c>
      <c r="I29" s="14">
        <v>45805</v>
      </c>
      <c r="J29" s="15">
        <v>1000</v>
      </c>
      <c r="K29" s="13"/>
      <c r="L29" s="13"/>
    </row>
    <row r="30" spans="1:12" ht="16.5" thickBot="1" x14ac:dyDescent="0.3">
      <c r="A30" s="200" t="s">
        <v>97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2"/>
    </row>
    <row r="31" spans="1:12" x14ac:dyDescent="0.25">
      <c r="A31" s="13">
        <v>1</v>
      </c>
      <c r="B31" s="13" t="s">
        <v>380</v>
      </c>
      <c r="C31" s="18" t="s">
        <v>405</v>
      </c>
      <c r="D31" s="13">
        <v>281742</v>
      </c>
      <c r="E31" s="13" t="s">
        <v>17</v>
      </c>
      <c r="F31" s="13" t="s">
        <v>406</v>
      </c>
      <c r="G31" s="13" t="s">
        <v>24</v>
      </c>
      <c r="H31" s="13" t="s">
        <v>20</v>
      </c>
      <c r="I31" s="14">
        <v>45810</v>
      </c>
      <c r="J31" s="15">
        <v>20000</v>
      </c>
      <c r="K31" s="149" t="s">
        <v>455</v>
      </c>
      <c r="L31" s="13"/>
    </row>
    <row r="32" spans="1:12" x14ac:dyDescent="0.25">
      <c r="A32" s="13">
        <v>2</v>
      </c>
      <c r="B32" s="18" t="s">
        <v>31</v>
      </c>
      <c r="C32" s="18" t="s">
        <v>439</v>
      </c>
      <c r="D32" s="18">
        <v>284892</v>
      </c>
      <c r="E32" s="18" t="s">
        <v>36</v>
      </c>
      <c r="F32" s="18" t="s">
        <v>440</v>
      </c>
      <c r="G32" s="18" t="s">
        <v>19</v>
      </c>
      <c r="H32" s="18" t="s">
        <v>20</v>
      </c>
      <c r="I32" s="19">
        <v>45810</v>
      </c>
      <c r="J32" s="15">
        <v>6000</v>
      </c>
      <c r="K32" s="13"/>
      <c r="L32" s="13"/>
    </row>
    <row r="33" spans="1:12" x14ac:dyDescent="0.25">
      <c r="A33" s="13">
        <v>3</v>
      </c>
      <c r="B33" s="18" t="s">
        <v>378</v>
      </c>
      <c r="C33" s="18" t="s">
        <v>390</v>
      </c>
      <c r="D33" s="18">
        <v>280311</v>
      </c>
      <c r="E33" s="18" t="s">
        <v>36</v>
      </c>
      <c r="F33" s="18" t="s">
        <v>391</v>
      </c>
      <c r="G33" s="18" t="s">
        <v>24</v>
      </c>
      <c r="H33" s="18" t="s">
        <v>20</v>
      </c>
      <c r="I33" s="37">
        <v>45821</v>
      </c>
      <c r="J33" s="38">
        <v>52500</v>
      </c>
      <c r="K33" s="36"/>
      <c r="L33" s="13"/>
    </row>
    <row r="34" spans="1:12" x14ac:dyDescent="0.25">
      <c r="A34" s="13">
        <v>4</v>
      </c>
      <c r="B34" s="13" t="s">
        <v>368</v>
      </c>
      <c r="C34" s="13" t="s">
        <v>383</v>
      </c>
      <c r="D34" s="13">
        <v>280218</v>
      </c>
      <c r="E34" s="13" t="s">
        <v>36</v>
      </c>
      <c r="F34" s="13" t="s">
        <v>384</v>
      </c>
      <c r="G34" s="13" t="s">
        <v>19</v>
      </c>
      <c r="H34" s="13" t="s">
        <v>20</v>
      </c>
      <c r="I34" s="14">
        <v>45824</v>
      </c>
      <c r="J34" s="15">
        <v>21500</v>
      </c>
      <c r="K34" s="13"/>
      <c r="L34" s="13"/>
    </row>
    <row r="35" spans="1:12" ht="15.75" thickBot="1" x14ac:dyDescent="0.3">
      <c r="A35" s="13">
        <v>5</v>
      </c>
      <c r="B35" s="13" t="s">
        <v>472</v>
      </c>
      <c r="C35" s="13" t="s">
        <v>473</v>
      </c>
      <c r="D35" s="13">
        <v>288109</v>
      </c>
      <c r="E35" s="13" t="s">
        <v>63</v>
      </c>
      <c r="F35" s="13" t="s">
        <v>404</v>
      </c>
      <c r="G35" s="77" t="s">
        <v>24</v>
      </c>
      <c r="H35" s="77" t="s">
        <v>25</v>
      </c>
      <c r="I35" s="14">
        <v>45829</v>
      </c>
      <c r="J35" s="15">
        <v>750</v>
      </c>
      <c r="K35" s="13"/>
      <c r="L35" s="13"/>
    </row>
    <row r="36" spans="1:12" ht="16.5" thickBot="1" x14ac:dyDescent="0.3">
      <c r="A36" s="200" t="s">
        <v>116</v>
      </c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2"/>
    </row>
    <row r="37" spans="1:12" x14ac:dyDescent="0.25">
      <c r="A37" s="13">
        <v>1</v>
      </c>
      <c r="B37" s="13" t="s">
        <v>40</v>
      </c>
      <c r="C37" s="13" t="s">
        <v>339</v>
      </c>
      <c r="D37" s="13" t="s">
        <v>339</v>
      </c>
      <c r="E37" s="13" t="s">
        <v>17</v>
      </c>
      <c r="F37" s="13" t="s">
        <v>481</v>
      </c>
      <c r="G37" s="13" t="s">
        <v>339</v>
      </c>
      <c r="H37" s="13" t="s">
        <v>339</v>
      </c>
      <c r="I37" s="14">
        <v>45842</v>
      </c>
      <c r="J37" s="15">
        <v>20500</v>
      </c>
      <c r="K37" s="13"/>
      <c r="L37" s="48" t="s">
        <v>495</v>
      </c>
    </row>
    <row r="38" spans="1:12" x14ac:dyDescent="0.25">
      <c r="A38" s="13">
        <v>2</v>
      </c>
      <c r="B38" s="18" t="s">
        <v>380</v>
      </c>
      <c r="C38" s="18" t="s">
        <v>418</v>
      </c>
      <c r="D38" s="18">
        <v>282937</v>
      </c>
      <c r="E38" s="18" t="s">
        <v>17</v>
      </c>
      <c r="F38" s="18" t="s">
        <v>406</v>
      </c>
      <c r="G38" s="77" t="s">
        <v>24</v>
      </c>
      <c r="H38" s="77" t="s">
        <v>20</v>
      </c>
      <c r="I38" s="14">
        <v>45852</v>
      </c>
      <c r="J38" s="15">
        <v>14000</v>
      </c>
      <c r="K38" s="149" t="s">
        <v>455</v>
      </c>
      <c r="L38" s="13"/>
    </row>
    <row r="39" spans="1:12" x14ac:dyDescent="0.25">
      <c r="A39" s="13">
        <v>3</v>
      </c>
      <c r="B39" s="13" t="s">
        <v>16</v>
      </c>
      <c r="C39" s="13" t="s">
        <v>161</v>
      </c>
      <c r="D39" s="13">
        <v>255139</v>
      </c>
      <c r="E39" s="13" t="s">
        <v>17</v>
      </c>
      <c r="F39" s="13" t="s">
        <v>162</v>
      </c>
      <c r="G39" s="13" t="s">
        <v>19</v>
      </c>
      <c r="H39" s="13" t="s">
        <v>20</v>
      </c>
      <c r="I39" s="37">
        <v>45854</v>
      </c>
      <c r="J39" s="38">
        <v>11500</v>
      </c>
      <c r="K39" s="149"/>
      <c r="L39" s="13"/>
    </row>
    <row r="40" spans="1:12" x14ac:dyDescent="0.25">
      <c r="A40" s="13">
        <v>4</v>
      </c>
      <c r="B40" s="13" t="s">
        <v>31</v>
      </c>
      <c r="C40" s="13" t="s">
        <v>484</v>
      </c>
      <c r="D40" s="13">
        <v>288971</v>
      </c>
      <c r="E40" s="13" t="s">
        <v>63</v>
      </c>
      <c r="F40" s="13" t="s">
        <v>404</v>
      </c>
      <c r="G40" s="13" t="s">
        <v>24</v>
      </c>
      <c r="H40" s="13" t="s">
        <v>25</v>
      </c>
      <c r="I40" s="37">
        <v>45855</v>
      </c>
      <c r="J40" s="38">
        <v>700</v>
      </c>
      <c r="K40" s="149"/>
      <c r="L40" s="13"/>
    </row>
    <row r="41" spans="1:12" x14ac:dyDescent="0.25">
      <c r="A41" s="13">
        <v>5</v>
      </c>
      <c r="B41" s="18" t="s">
        <v>16</v>
      </c>
      <c r="C41" s="18" t="s">
        <v>234</v>
      </c>
      <c r="D41" s="18">
        <v>268756</v>
      </c>
      <c r="E41" s="18" t="s">
        <v>36</v>
      </c>
      <c r="F41" s="18" t="s">
        <v>235</v>
      </c>
      <c r="G41" s="13" t="s">
        <v>19</v>
      </c>
      <c r="H41" s="13" t="s">
        <v>20</v>
      </c>
      <c r="I41" s="37">
        <v>45856</v>
      </c>
      <c r="J41" s="38">
        <v>26000</v>
      </c>
      <c r="K41" s="27" t="s">
        <v>195</v>
      </c>
      <c r="L41" s="13"/>
    </row>
    <row r="42" spans="1:12" ht="15.75" thickBot="1" x14ac:dyDescent="0.3">
      <c r="A42" s="13">
        <v>6</v>
      </c>
      <c r="B42" s="18" t="s">
        <v>16</v>
      </c>
      <c r="C42" s="18" t="s">
        <v>490</v>
      </c>
      <c r="D42" s="18">
        <v>289567</v>
      </c>
      <c r="E42" s="18" t="s">
        <v>17</v>
      </c>
      <c r="F42" s="18" t="s">
        <v>239</v>
      </c>
      <c r="G42" s="13" t="s">
        <v>19</v>
      </c>
      <c r="H42" s="13" t="s">
        <v>20</v>
      </c>
      <c r="I42" s="14">
        <v>45861</v>
      </c>
      <c r="J42" s="15">
        <v>14000</v>
      </c>
      <c r="K42" s="13"/>
      <c r="L42" s="13"/>
    </row>
    <row r="43" spans="1:12" ht="16.5" thickBot="1" x14ac:dyDescent="0.3">
      <c r="A43" s="200" t="s">
        <v>130</v>
      </c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2"/>
    </row>
    <row r="44" spans="1:12" x14ac:dyDescent="0.25">
      <c r="A44" s="13">
        <v>1</v>
      </c>
      <c r="B44" s="18" t="s">
        <v>380</v>
      </c>
      <c r="C44" s="18" t="s">
        <v>430</v>
      </c>
      <c r="D44" s="18">
        <v>283749</v>
      </c>
      <c r="E44" s="18" t="s">
        <v>36</v>
      </c>
      <c r="F44" s="18" t="s">
        <v>431</v>
      </c>
      <c r="G44" s="13" t="s">
        <v>19</v>
      </c>
      <c r="H44" s="13" t="s">
        <v>20</v>
      </c>
      <c r="I44" s="37">
        <v>45870</v>
      </c>
      <c r="J44" s="38">
        <v>23000</v>
      </c>
      <c r="K44" s="36"/>
      <c r="L44" s="13"/>
    </row>
    <row r="45" spans="1:12" x14ac:dyDescent="0.25">
      <c r="A45" s="13">
        <v>2</v>
      </c>
      <c r="B45" s="13" t="s">
        <v>40</v>
      </c>
      <c r="C45" s="13" t="s">
        <v>544</v>
      </c>
      <c r="D45" s="13">
        <v>294230</v>
      </c>
      <c r="E45" s="13" t="s">
        <v>17</v>
      </c>
      <c r="F45" s="13" t="s">
        <v>545</v>
      </c>
      <c r="G45" s="13" t="s">
        <v>19</v>
      </c>
      <c r="H45" s="13" t="s">
        <v>25</v>
      </c>
      <c r="I45" s="14">
        <v>45873</v>
      </c>
      <c r="J45" s="15">
        <v>220</v>
      </c>
      <c r="K45" s="13"/>
      <c r="L45" s="13"/>
    </row>
    <row r="46" spans="1:12" x14ac:dyDescent="0.25">
      <c r="A46" s="13">
        <v>3</v>
      </c>
      <c r="B46" s="13" t="s">
        <v>16</v>
      </c>
      <c r="C46" s="13" t="s">
        <v>249</v>
      </c>
      <c r="D46" s="13">
        <v>272979</v>
      </c>
      <c r="E46" s="13" t="s">
        <v>33</v>
      </c>
      <c r="F46" s="13" t="s">
        <v>253</v>
      </c>
      <c r="G46" s="13" t="s">
        <v>19</v>
      </c>
      <c r="H46" s="13" t="s">
        <v>20</v>
      </c>
      <c r="I46" s="14">
        <v>45874</v>
      </c>
      <c r="J46" s="15">
        <v>30500</v>
      </c>
      <c r="K46" s="53" t="s">
        <v>254</v>
      </c>
      <c r="L46" s="13"/>
    </row>
    <row r="47" spans="1:12" ht="15.75" x14ac:dyDescent="0.25">
      <c r="A47" s="13">
        <v>4</v>
      </c>
      <c r="B47" s="13" t="s">
        <v>40</v>
      </c>
      <c r="C47" s="13" t="s">
        <v>197</v>
      </c>
      <c r="D47" s="13">
        <v>263450</v>
      </c>
      <c r="E47" s="13" t="s">
        <v>33</v>
      </c>
      <c r="F47" s="13" t="s">
        <v>198</v>
      </c>
      <c r="G47" s="13" t="s">
        <v>19</v>
      </c>
      <c r="H47" s="13" t="s">
        <v>20</v>
      </c>
      <c r="I47" s="14">
        <v>45891</v>
      </c>
      <c r="J47" s="153">
        <v>23000</v>
      </c>
      <c r="K47" s="53" t="s">
        <v>199</v>
      </c>
      <c r="L47" s="53" t="s">
        <v>561</v>
      </c>
    </row>
    <row r="48" spans="1:12" ht="16.5" thickBot="1" x14ac:dyDescent="0.3">
      <c r="A48" s="13">
        <v>5</v>
      </c>
      <c r="B48" s="13" t="s">
        <v>380</v>
      </c>
      <c r="C48" s="18" t="s">
        <v>541</v>
      </c>
      <c r="D48" s="18">
        <v>294160</v>
      </c>
      <c r="E48" s="13" t="s">
        <v>17</v>
      </c>
      <c r="F48" s="13" t="s">
        <v>542</v>
      </c>
      <c r="G48" s="13" t="s">
        <v>19</v>
      </c>
      <c r="H48" s="13" t="s">
        <v>20</v>
      </c>
      <c r="I48" s="14">
        <v>45891</v>
      </c>
      <c r="J48" s="153">
        <v>14000</v>
      </c>
      <c r="K48" s="13"/>
      <c r="L48" s="13"/>
    </row>
    <row r="49" spans="1:12" ht="16.5" thickBot="1" x14ac:dyDescent="0.3">
      <c r="A49" s="200" t="s">
        <v>143</v>
      </c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2"/>
    </row>
    <row r="50" spans="1:12" ht="15.75" x14ac:dyDescent="0.25">
      <c r="A50" s="13">
        <v>1</v>
      </c>
      <c r="B50" s="18" t="s">
        <v>40</v>
      </c>
      <c r="C50" s="18" t="s">
        <v>574</v>
      </c>
      <c r="D50" s="18">
        <v>297873</v>
      </c>
      <c r="E50" s="18" t="s">
        <v>63</v>
      </c>
      <c r="F50" s="18" t="s">
        <v>575</v>
      </c>
      <c r="G50" s="18" t="s">
        <v>19</v>
      </c>
      <c r="H50" s="18" t="s">
        <v>25</v>
      </c>
      <c r="I50" s="14">
        <v>45901</v>
      </c>
      <c r="J50" s="153">
        <v>1000</v>
      </c>
      <c r="K50" s="13"/>
      <c r="L50" s="13"/>
    </row>
    <row r="51" spans="1:12" ht="15.75" x14ac:dyDescent="0.25">
      <c r="A51" s="13">
        <v>2</v>
      </c>
      <c r="B51" s="13" t="s">
        <v>380</v>
      </c>
      <c r="C51" s="13" t="s">
        <v>507</v>
      </c>
      <c r="D51" s="13">
        <v>291680</v>
      </c>
      <c r="E51" s="46" t="s">
        <v>42</v>
      </c>
      <c r="F51" s="13" t="s">
        <v>508</v>
      </c>
      <c r="G51" s="13" t="s">
        <v>19</v>
      </c>
      <c r="H51" s="13" t="s">
        <v>20</v>
      </c>
      <c r="I51" s="14">
        <v>45909</v>
      </c>
      <c r="J51" s="153">
        <v>5450</v>
      </c>
      <c r="K51" s="13"/>
      <c r="L51" s="48" t="s">
        <v>583</v>
      </c>
    </row>
    <row r="52" spans="1:12" ht="15.75" x14ac:dyDescent="0.25">
      <c r="A52" s="13">
        <v>3</v>
      </c>
      <c r="B52" s="18" t="s">
        <v>380</v>
      </c>
      <c r="C52" s="13" t="s">
        <v>463</v>
      </c>
      <c r="D52" s="13">
        <v>286418</v>
      </c>
      <c r="E52" s="13" t="s">
        <v>36</v>
      </c>
      <c r="F52" s="13" t="s">
        <v>198</v>
      </c>
      <c r="G52" s="13" t="s">
        <v>24</v>
      </c>
      <c r="H52" s="13" t="s">
        <v>20</v>
      </c>
      <c r="I52" s="14">
        <v>45916</v>
      </c>
      <c r="J52" s="153">
        <v>27000</v>
      </c>
      <c r="K52" s="13"/>
      <c r="L52" s="48" t="s">
        <v>596</v>
      </c>
    </row>
    <row r="53" spans="1:12" ht="15.75" x14ac:dyDescent="0.25">
      <c r="A53" s="13">
        <v>4</v>
      </c>
      <c r="B53" s="18" t="s">
        <v>31</v>
      </c>
      <c r="C53" s="18" t="s">
        <v>487</v>
      </c>
      <c r="D53" s="18">
        <v>289112</v>
      </c>
      <c r="E53" s="18" t="s">
        <v>129</v>
      </c>
      <c r="F53" s="18" t="s">
        <v>488</v>
      </c>
      <c r="G53" s="18" t="s">
        <v>19</v>
      </c>
      <c r="H53" s="18" t="s">
        <v>20</v>
      </c>
      <c r="I53" s="14">
        <v>45916</v>
      </c>
      <c r="J53" s="153">
        <v>22000</v>
      </c>
      <c r="K53" s="85" t="s">
        <v>489</v>
      </c>
      <c r="L53" s="48" t="s">
        <v>595</v>
      </c>
    </row>
    <row r="54" spans="1:12" ht="15.75" x14ac:dyDescent="0.25">
      <c r="A54" s="13">
        <v>5</v>
      </c>
      <c r="B54" s="18" t="s">
        <v>16</v>
      </c>
      <c r="C54" s="18" t="s">
        <v>477</v>
      </c>
      <c r="D54" s="18">
        <v>288156</v>
      </c>
      <c r="E54" s="18" t="s">
        <v>17</v>
      </c>
      <c r="F54" s="18" t="s">
        <v>478</v>
      </c>
      <c r="G54" s="18" t="s">
        <v>24</v>
      </c>
      <c r="H54" s="18" t="s">
        <v>20</v>
      </c>
      <c r="I54" s="14">
        <v>45916</v>
      </c>
      <c r="J54" s="153">
        <v>17000</v>
      </c>
      <c r="K54" s="13"/>
      <c r="L54" s="13"/>
    </row>
    <row r="55" spans="1:12" ht="15.75" x14ac:dyDescent="0.25">
      <c r="A55" s="13">
        <v>6</v>
      </c>
      <c r="B55" s="13" t="s">
        <v>31</v>
      </c>
      <c r="C55" s="13" t="s">
        <v>578</v>
      </c>
      <c r="D55" s="13">
        <v>298637</v>
      </c>
      <c r="E55" s="13" t="s">
        <v>17</v>
      </c>
      <c r="F55" s="13" t="s">
        <v>45</v>
      </c>
      <c r="G55" s="18" t="s">
        <v>24</v>
      </c>
      <c r="H55" s="18" t="s">
        <v>20</v>
      </c>
      <c r="I55" s="14">
        <v>45923</v>
      </c>
      <c r="J55" s="153">
        <v>17000</v>
      </c>
      <c r="K55" s="13"/>
      <c r="L55" s="13"/>
    </row>
    <row r="56" spans="1:12" ht="15.75" x14ac:dyDescent="0.25">
      <c r="A56" s="13">
        <v>7</v>
      </c>
      <c r="B56" s="13" t="s">
        <v>122</v>
      </c>
      <c r="C56" s="13" t="s">
        <v>581</v>
      </c>
      <c r="D56" s="13">
        <v>298928</v>
      </c>
      <c r="E56" s="13" t="s">
        <v>17</v>
      </c>
      <c r="F56" s="13" t="s">
        <v>445</v>
      </c>
      <c r="G56" s="13" t="s">
        <v>19</v>
      </c>
      <c r="H56" s="13" t="s">
        <v>20</v>
      </c>
      <c r="I56" s="14">
        <v>45926</v>
      </c>
      <c r="J56" s="153">
        <v>32000</v>
      </c>
      <c r="K56" s="52" t="s">
        <v>446</v>
      </c>
      <c r="L56" s="13"/>
    </row>
    <row r="57" spans="1:12" s="5" customFormat="1" ht="15.75" thickBot="1" x14ac:dyDescent="0.3">
      <c r="A57" s="13">
        <v>8</v>
      </c>
      <c r="B57" s="13" t="s">
        <v>31</v>
      </c>
      <c r="C57" s="13" t="s">
        <v>313</v>
      </c>
      <c r="D57" s="13">
        <v>265150</v>
      </c>
      <c r="E57" s="13" t="s">
        <v>17</v>
      </c>
      <c r="F57" s="13" t="s">
        <v>481</v>
      </c>
      <c r="G57" s="13" t="s">
        <v>19</v>
      </c>
      <c r="H57" s="13" t="s">
        <v>20</v>
      </c>
      <c r="I57" s="14">
        <v>45930</v>
      </c>
      <c r="J57" s="15">
        <v>22000</v>
      </c>
      <c r="K57" s="13"/>
      <c r="L57" s="13"/>
    </row>
    <row r="58" spans="1:12" s="5" customFormat="1" ht="16.5" thickBot="1" x14ac:dyDescent="0.3">
      <c r="A58" s="200" t="s">
        <v>163</v>
      </c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2"/>
    </row>
    <row r="59" spans="1:12" s="5" customFormat="1" x14ac:dyDescent="0.25">
      <c r="A59" s="13">
        <v>1</v>
      </c>
      <c r="B59" s="18" t="s">
        <v>380</v>
      </c>
      <c r="C59" s="18" t="s">
        <v>597</v>
      </c>
      <c r="D59" s="18">
        <v>300544</v>
      </c>
      <c r="E59" s="18" t="s">
        <v>17</v>
      </c>
      <c r="F59" s="18" t="s">
        <v>598</v>
      </c>
      <c r="G59" s="18" t="s">
        <v>19</v>
      </c>
      <c r="H59" s="18" t="s">
        <v>20</v>
      </c>
      <c r="I59" s="14">
        <v>45931</v>
      </c>
      <c r="J59" s="15">
        <v>20000</v>
      </c>
      <c r="K59" s="52" t="s">
        <v>599</v>
      </c>
      <c r="L59" s="13"/>
    </row>
    <row r="60" spans="1:12" s="5" customFormat="1" x14ac:dyDescent="0.25">
      <c r="A60" s="13">
        <v>2</v>
      </c>
      <c r="B60" s="18" t="s">
        <v>16</v>
      </c>
      <c r="C60" s="18" t="s">
        <v>333</v>
      </c>
      <c r="D60" s="18">
        <v>275027</v>
      </c>
      <c r="E60" s="18" t="s">
        <v>17</v>
      </c>
      <c r="F60" s="18" t="s">
        <v>334</v>
      </c>
      <c r="G60" s="13" t="s">
        <v>19</v>
      </c>
      <c r="H60" s="13" t="s">
        <v>20</v>
      </c>
      <c r="I60" s="14">
        <v>45936</v>
      </c>
      <c r="J60" s="15">
        <v>25500</v>
      </c>
      <c r="K60" s="13"/>
      <c r="L60" s="13"/>
    </row>
    <row r="61" spans="1:12" s="5" customFormat="1" x14ac:dyDescent="0.25">
      <c r="A61" s="13">
        <v>3</v>
      </c>
      <c r="B61" s="13" t="s">
        <v>380</v>
      </c>
      <c r="C61" s="13" t="s">
        <v>585</v>
      </c>
      <c r="D61" s="13">
        <v>299688</v>
      </c>
      <c r="E61" s="13" t="s">
        <v>17</v>
      </c>
      <c r="F61" s="13" t="s">
        <v>481</v>
      </c>
      <c r="G61" s="13" t="s">
        <v>19</v>
      </c>
      <c r="H61" s="13" t="s">
        <v>20</v>
      </c>
      <c r="I61" s="14">
        <v>45940</v>
      </c>
      <c r="J61" s="15">
        <v>24000</v>
      </c>
      <c r="K61" s="13"/>
      <c r="L61" s="48" t="s">
        <v>554</v>
      </c>
    </row>
    <row r="62" spans="1:12" s="5" customFormat="1" x14ac:dyDescent="0.25">
      <c r="A62" s="13">
        <v>4</v>
      </c>
      <c r="B62" s="13" t="s">
        <v>122</v>
      </c>
      <c r="C62" s="13" t="s">
        <v>582</v>
      </c>
      <c r="D62" s="13">
        <v>298940</v>
      </c>
      <c r="E62" s="13" t="s">
        <v>36</v>
      </c>
      <c r="F62" s="13" t="s">
        <v>413</v>
      </c>
      <c r="G62" s="13" t="s">
        <v>19</v>
      </c>
      <c r="H62" s="13" t="s">
        <v>20</v>
      </c>
      <c r="I62" s="14">
        <v>45947</v>
      </c>
      <c r="J62" s="15">
        <v>21000</v>
      </c>
      <c r="K62" s="13"/>
      <c r="L62" s="13"/>
    </row>
    <row r="63" spans="1:12" s="5" customFormat="1" x14ac:dyDescent="0.2">
      <c r="A63" s="13">
        <v>5</v>
      </c>
      <c r="B63" s="13" t="s">
        <v>122</v>
      </c>
      <c r="C63" s="13" t="s">
        <v>353</v>
      </c>
      <c r="D63" s="13">
        <v>276630</v>
      </c>
      <c r="E63" s="13" t="s">
        <v>82</v>
      </c>
      <c r="F63" s="177" t="s">
        <v>631</v>
      </c>
      <c r="G63" s="13" t="s">
        <v>19</v>
      </c>
      <c r="H63" s="13" t="s">
        <v>25</v>
      </c>
      <c r="I63" s="14">
        <v>45945</v>
      </c>
      <c r="J63" s="15">
        <v>9563</v>
      </c>
      <c r="K63" s="13"/>
      <c r="L63" s="13"/>
    </row>
    <row r="64" spans="1:12" s="5" customFormat="1" ht="15.75" thickBot="1" x14ac:dyDescent="0.3">
      <c r="A64" s="13">
        <v>6</v>
      </c>
      <c r="B64" s="13" t="s">
        <v>472</v>
      </c>
      <c r="C64" s="13" t="s">
        <v>225</v>
      </c>
      <c r="D64" s="13">
        <v>268294</v>
      </c>
      <c r="E64" s="13" t="s">
        <v>17</v>
      </c>
      <c r="F64" s="13" t="s">
        <v>217</v>
      </c>
      <c r="G64" s="13" t="s">
        <v>19</v>
      </c>
      <c r="H64" s="13" t="s">
        <v>20</v>
      </c>
      <c r="I64" s="14">
        <v>45954</v>
      </c>
      <c r="J64" s="15">
        <v>23000</v>
      </c>
      <c r="K64" s="13"/>
      <c r="L64" s="48" t="s">
        <v>616</v>
      </c>
    </row>
    <row r="65" spans="1:12" s="5" customFormat="1" ht="16.5" thickBot="1" x14ac:dyDescent="0.3">
      <c r="A65" s="200" t="s">
        <v>176</v>
      </c>
      <c r="B65" s="201"/>
      <c r="C65" s="201"/>
      <c r="D65" s="201"/>
      <c r="E65" s="201"/>
      <c r="F65" s="201"/>
      <c r="G65" s="201"/>
      <c r="H65" s="201"/>
      <c r="I65" s="201"/>
      <c r="J65" s="201"/>
      <c r="K65" s="201"/>
      <c r="L65" s="202"/>
    </row>
    <row r="66" spans="1:12" s="5" customFormat="1" x14ac:dyDescent="0.25">
      <c r="A66" s="13">
        <v>1</v>
      </c>
      <c r="B66" s="18" t="s">
        <v>16</v>
      </c>
      <c r="C66" s="18" t="s">
        <v>578</v>
      </c>
      <c r="D66" s="18">
        <v>300692</v>
      </c>
      <c r="E66" s="18" t="s">
        <v>17</v>
      </c>
      <c r="F66" s="18" t="s">
        <v>43</v>
      </c>
      <c r="G66" s="18" t="s">
        <v>19</v>
      </c>
      <c r="H66" s="18" t="s">
        <v>20</v>
      </c>
      <c r="I66" s="14">
        <v>45964</v>
      </c>
      <c r="J66" s="15">
        <v>18000</v>
      </c>
      <c r="K66" s="13"/>
      <c r="L66" s="13"/>
    </row>
    <row r="67" spans="1:12" s="5" customFormat="1" x14ac:dyDescent="0.25">
      <c r="A67" s="13">
        <v>2</v>
      </c>
      <c r="B67" s="13" t="s">
        <v>31</v>
      </c>
      <c r="C67" s="13" t="s">
        <v>339</v>
      </c>
      <c r="D67" s="13" t="s">
        <v>339</v>
      </c>
      <c r="E67" s="13" t="s">
        <v>17</v>
      </c>
      <c r="F67" s="13" t="s">
        <v>657</v>
      </c>
      <c r="G67" s="13" t="s">
        <v>339</v>
      </c>
      <c r="H67" s="13" t="s">
        <v>20</v>
      </c>
      <c r="I67" s="14">
        <v>45965</v>
      </c>
      <c r="J67" s="15">
        <v>21000</v>
      </c>
      <c r="K67" s="13"/>
      <c r="L67" s="48" t="s">
        <v>615</v>
      </c>
    </row>
    <row r="68" spans="1:12" s="5" customFormat="1" x14ac:dyDescent="0.25">
      <c r="A68" s="13">
        <v>3</v>
      </c>
      <c r="B68" s="13" t="s">
        <v>380</v>
      </c>
      <c r="C68" s="13" t="s">
        <v>339</v>
      </c>
      <c r="D68" s="13" t="s">
        <v>339</v>
      </c>
      <c r="E68" s="13" t="s">
        <v>36</v>
      </c>
      <c r="F68" s="13" t="s">
        <v>630</v>
      </c>
      <c r="G68" s="13" t="s">
        <v>339</v>
      </c>
      <c r="H68" s="13" t="s">
        <v>20</v>
      </c>
      <c r="I68" s="14">
        <v>45974</v>
      </c>
      <c r="J68" s="15">
        <v>21500</v>
      </c>
      <c r="K68" s="13"/>
      <c r="L68" s="48" t="s">
        <v>658</v>
      </c>
    </row>
    <row r="69" spans="1:12" s="5" customFormat="1" ht="15.75" thickBot="1" x14ac:dyDescent="0.3">
      <c r="A69" s="13">
        <v>4</v>
      </c>
      <c r="B69" s="13" t="s">
        <v>16</v>
      </c>
      <c r="C69" s="13" t="s">
        <v>152</v>
      </c>
      <c r="D69" s="13">
        <v>252305</v>
      </c>
      <c r="E69" s="13" t="s">
        <v>33</v>
      </c>
      <c r="F69" s="13" t="s">
        <v>153</v>
      </c>
      <c r="G69" s="13" t="s">
        <v>19</v>
      </c>
      <c r="H69" s="13" t="s">
        <v>20</v>
      </c>
      <c r="I69" s="14">
        <v>45985</v>
      </c>
      <c r="J69" s="15">
        <v>25000</v>
      </c>
      <c r="K69" s="13"/>
      <c r="L69" s="13"/>
    </row>
    <row r="70" spans="1:12" s="5" customFormat="1" ht="15.75" x14ac:dyDescent="0.25">
      <c r="A70" s="197" t="s">
        <v>191</v>
      </c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9"/>
    </row>
    <row r="71" spans="1:12" s="5" customFormat="1" x14ac:dyDescent="0.25">
      <c r="A71" s="13">
        <v>1</v>
      </c>
      <c r="B71" s="13" t="s">
        <v>40</v>
      </c>
      <c r="C71" s="13" t="s">
        <v>339</v>
      </c>
      <c r="D71" s="13" t="s">
        <v>339</v>
      </c>
      <c r="E71" s="13" t="s">
        <v>36</v>
      </c>
      <c r="F71" s="13" t="s">
        <v>659</v>
      </c>
      <c r="G71" s="13" t="s">
        <v>339</v>
      </c>
      <c r="H71" s="13" t="s">
        <v>339</v>
      </c>
      <c r="I71" s="14">
        <v>45992</v>
      </c>
      <c r="J71" s="15">
        <v>31500</v>
      </c>
      <c r="K71" s="13"/>
      <c r="L71" s="48" t="s">
        <v>690</v>
      </c>
    </row>
    <row r="72" spans="1:12" s="5" customFormat="1" x14ac:dyDescent="0.25">
      <c r="A72" s="13">
        <v>2</v>
      </c>
      <c r="B72" s="13" t="s">
        <v>16</v>
      </c>
      <c r="C72" s="13" t="s">
        <v>594</v>
      </c>
      <c r="D72" s="13">
        <v>300310</v>
      </c>
      <c r="E72" s="13" t="s">
        <v>17</v>
      </c>
      <c r="F72" s="13" t="s">
        <v>593</v>
      </c>
      <c r="G72" s="13" t="s">
        <v>24</v>
      </c>
      <c r="H72" s="13" t="s">
        <v>20</v>
      </c>
      <c r="I72" s="14">
        <v>45995</v>
      </c>
      <c r="J72" s="15">
        <v>17500</v>
      </c>
      <c r="K72" s="13"/>
      <c r="L72" s="48" t="s">
        <v>617</v>
      </c>
    </row>
    <row r="73" spans="1:12" s="5" customFormat="1" x14ac:dyDescent="0.25">
      <c r="A73" s="13">
        <v>3</v>
      </c>
      <c r="B73" s="13" t="s">
        <v>472</v>
      </c>
      <c r="C73" s="13" t="s">
        <v>687</v>
      </c>
      <c r="D73" s="13">
        <v>310280</v>
      </c>
      <c r="E73" s="13" t="s">
        <v>63</v>
      </c>
      <c r="F73" s="13" t="s">
        <v>404</v>
      </c>
      <c r="G73" s="13" t="s">
        <v>19</v>
      </c>
      <c r="H73" s="13" t="s">
        <v>25</v>
      </c>
      <c r="I73" s="14">
        <v>46003</v>
      </c>
      <c r="J73" s="15">
        <v>600</v>
      </c>
      <c r="K73" s="13"/>
      <c r="L73" s="13"/>
    </row>
    <row r="74" spans="1:12" s="5" customForma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5"/>
      <c r="K74" s="13"/>
      <c r="L74" s="13"/>
    </row>
    <row r="75" spans="1:12" s="5" customForma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5"/>
      <c r="K75" s="13"/>
      <c r="L75" s="13"/>
    </row>
    <row r="76" spans="1:12" s="5" customForma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5"/>
      <c r="K76" s="13"/>
      <c r="L76" s="13"/>
    </row>
    <row r="77" spans="1:12" s="5" customForma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5"/>
      <c r="K77" s="13"/>
      <c r="L77" s="13"/>
    </row>
    <row r="78" spans="1:12" s="5" customForma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5"/>
      <c r="K78" s="13"/>
      <c r="L78" s="13"/>
    </row>
    <row r="79" spans="1:12" s="5" customFormat="1" x14ac:dyDescent="0.25">
      <c r="J79" s="175"/>
    </row>
    <row r="80" spans="1:12" s="5" customFormat="1" x14ac:dyDescent="0.25">
      <c r="J80" s="175"/>
    </row>
    <row r="81" spans="10:10" s="5" customFormat="1" x14ac:dyDescent="0.25">
      <c r="J81" s="175"/>
    </row>
    <row r="82" spans="10:10" s="5" customFormat="1" x14ac:dyDescent="0.25">
      <c r="J82" s="175"/>
    </row>
    <row r="83" spans="10:10" s="5" customFormat="1" x14ac:dyDescent="0.25">
      <c r="J83" s="175"/>
    </row>
    <row r="84" spans="10:10" s="5" customFormat="1" x14ac:dyDescent="0.25">
      <c r="J84" s="175"/>
    </row>
    <row r="85" spans="10:10" s="5" customFormat="1" x14ac:dyDescent="0.25">
      <c r="J85" s="175"/>
    </row>
    <row r="86" spans="10:10" s="5" customFormat="1" x14ac:dyDescent="0.25">
      <c r="J86" s="175"/>
    </row>
    <row r="87" spans="10:10" s="5" customFormat="1" x14ac:dyDescent="0.25">
      <c r="J87" s="175"/>
    </row>
    <row r="88" spans="10:10" s="5" customFormat="1" x14ac:dyDescent="0.25">
      <c r="J88" s="175"/>
    </row>
    <row r="89" spans="10:10" s="5" customFormat="1" x14ac:dyDescent="0.25">
      <c r="J89" s="175"/>
    </row>
    <row r="90" spans="10:10" s="5" customFormat="1" x14ac:dyDescent="0.25">
      <c r="J90" s="175"/>
    </row>
    <row r="91" spans="10:10" s="5" customFormat="1" x14ac:dyDescent="0.25">
      <c r="J91" s="175"/>
    </row>
    <row r="92" spans="10:10" s="5" customFormat="1" x14ac:dyDescent="0.25">
      <c r="J92" s="175"/>
    </row>
    <row r="93" spans="10:10" s="5" customFormat="1" x14ac:dyDescent="0.25">
      <c r="J93" s="175"/>
    </row>
    <row r="94" spans="10:10" s="5" customFormat="1" x14ac:dyDescent="0.25">
      <c r="J94" s="175"/>
    </row>
    <row r="95" spans="10:10" s="5" customFormat="1" x14ac:dyDescent="0.25">
      <c r="J95" s="175"/>
    </row>
    <row r="96" spans="10:10" s="5" customFormat="1" x14ac:dyDescent="0.25">
      <c r="J96" s="175"/>
    </row>
    <row r="97" spans="10:10" s="5" customFormat="1" x14ac:dyDescent="0.25">
      <c r="J97" s="175"/>
    </row>
    <row r="98" spans="10:10" s="5" customFormat="1" x14ac:dyDescent="0.25">
      <c r="J98" s="175"/>
    </row>
    <row r="99" spans="10:10" s="5" customFormat="1" x14ac:dyDescent="0.25">
      <c r="J99" s="175"/>
    </row>
    <row r="100" spans="10:10" s="5" customFormat="1" x14ac:dyDescent="0.25">
      <c r="J100" s="175"/>
    </row>
    <row r="101" spans="10:10" s="5" customFormat="1" x14ac:dyDescent="0.25">
      <c r="J101" s="175"/>
    </row>
    <row r="102" spans="10:10" s="5" customFormat="1" x14ac:dyDescent="0.25">
      <c r="J102" s="175"/>
    </row>
    <row r="103" spans="10:10" s="5" customFormat="1" x14ac:dyDescent="0.25">
      <c r="J103" s="175"/>
    </row>
    <row r="104" spans="10:10" s="5" customFormat="1" x14ac:dyDescent="0.25"/>
    <row r="105" spans="10:10" s="5" customFormat="1" x14ac:dyDescent="0.25"/>
    <row r="106" spans="10:10" s="5" customFormat="1" x14ac:dyDescent="0.25"/>
    <row r="107" spans="10:10" s="5" customFormat="1" x14ac:dyDescent="0.25"/>
    <row r="108" spans="10:10" s="5" customFormat="1" x14ac:dyDescent="0.25"/>
    <row r="109" spans="10:10" s="5" customFormat="1" x14ac:dyDescent="0.25"/>
    <row r="110" spans="10:10" s="5" customFormat="1" x14ac:dyDescent="0.25"/>
    <row r="111" spans="10:10" s="5" customFormat="1" x14ac:dyDescent="0.25"/>
    <row r="112" spans="10:10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</sheetData>
  <autoFilter ref="A6:L59" xr:uid="{70AC7972-1083-4B18-B930-819DCEEC843C}"/>
  <mergeCells count="13">
    <mergeCell ref="A70:L70"/>
    <mergeCell ref="A65:L65"/>
    <mergeCell ref="A58:L58"/>
    <mergeCell ref="A49:L49"/>
    <mergeCell ref="A3:L3"/>
    <mergeCell ref="A10:L10"/>
    <mergeCell ref="A14:L14"/>
    <mergeCell ref="A18:L18"/>
    <mergeCell ref="A43:L43"/>
    <mergeCell ref="A36:L36"/>
    <mergeCell ref="A30:L30"/>
    <mergeCell ref="A22:L22"/>
    <mergeCell ref="A7:L7"/>
  </mergeCells>
  <pageMargins left="0.7" right="0.7" top="0.75" bottom="0.75" header="0.3" footer="0.3"/>
  <pageSetup orientation="portrait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A173-6D8A-411A-B1C2-5BAE9AF65BD9}">
  <sheetPr>
    <tabColor rgb="FFFFFF00"/>
  </sheetPr>
  <dimension ref="A1:O106"/>
  <sheetViews>
    <sheetView topLeftCell="A58" workbookViewId="0">
      <selection activeCell="F87" sqref="F87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8.85546875" bestFit="1" customWidth="1"/>
    <col min="7" max="7" width="13" customWidth="1"/>
    <col min="8" max="9" width="13.5703125" customWidth="1"/>
    <col min="10" max="10" width="12.42578125" customWidth="1"/>
    <col min="11" max="11" width="12.85546875" customWidth="1"/>
    <col min="12" max="12" width="11.5703125" customWidth="1"/>
    <col min="13" max="13" width="13" bestFit="1" customWidth="1"/>
    <col min="14" max="14" width="32" bestFit="1" customWidth="1"/>
    <col min="15" max="15" width="32.42578125" customWidth="1"/>
  </cols>
  <sheetData>
    <row r="1" spans="1:15" ht="15.75" x14ac:dyDescent="0.25">
      <c r="A1" s="114"/>
      <c r="B1" s="78"/>
      <c r="C1" s="115"/>
      <c r="D1" s="115"/>
      <c r="E1" s="115"/>
      <c r="F1" s="78"/>
      <c r="G1" s="5"/>
      <c r="H1" s="116"/>
      <c r="I1" s="116"/>
      <c r="J1" s="78"/>
      <c r="K1" s="78"/>
      <c r="L1" s="78"/>
      <c r="M1" s="78"/>
      <c r="N1" s="5"/>
      <c r="O1" s="5"/>
    </row>
    <row r="2" spans="1:15" ht="15.75" x14ac:dyDescent="0.25">
      <c r="A2" s="114"/>
      <c r="B2" s="115"/>
      <c r="C2" s="115"/>
      <c r="D2" s="117"/>
      <c r="E2" s="115"/>
      <c r="F2" s="115"/>
      <c r="G2" s="5"/>
      <c r="H2" s="116"/>
      <c r="I2" s="116"/>
      <c r="J2" s="78"/>
      <c r="K2" s="78"/>
      <c r="L2" s="78"/>
      <c r="M2" s="78"/>
      <c r="N2" s="5"/>
      <c r="O2" s="5"/>
    </row>
    <row r="3" spans="1:15" ht="15.75" x14ac:dyDescent="0.25">
      <c r="A3" s="196" t="s">
        <v>277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73"/>
    </row>
    <row r="4" spans="1:15" ht="15.75" x14ac:dyDescent="0.25">
      <c r="A4" s="114"/>
      <c r="B4" s="115"/>
      <c r="C4" s="115"/>
      <c r="D4" s="115"/>
      <c r="E4" s="115"/>
      <c r="F4" s="115" t="s">
        <v>1</v>
      </c>
      <c r="G4" s="5"/>
      <c r="H4" s="116"/>
      <c r="I4" s="116"/>
      <c r="J4" s="78"/>
      <c r="K4" s="78"/>
      <c r="L4" s="78"/>
      <c r="M4" s="78"/>
      <c r="N4" s="5"/>
      <c r="O4" s="5"/>
    </row>
    <row r="5" spans="1:15" ht="16.5" thickBot="1" x14ac:dyDescent="0.3">
      <c r="A5" s="114"/>
      <c r="B5" s="78"/>
      <c r="C5" s="115"/>
      <c r="D5" s="115"/>
      <c r="E5" s="115"/>
      <c r="F5" s="78"/>
      <c r="G5" s="5"/>
      <c r="H5" s="116"/>
      <c r="I5" s="116"/>
      <c r="J5" s="78"/>
      <c r="K5" s="78"/>
      <c r="L5" s="78"/>
      <c r="M5" s="78"/>
      <c r="N5" s="5"/>
      <c r="O5" s="5"/>
    </row>
    <row r="6" spans="1:15" ht="39" thickBot="1" x14ac:dyDescent="0.3">
      <c r="A6" s="118" t="s">
        <v>2</v>
      </c>
      <c r="B6" s="7" t="s">
        <v>3</v>
      </c>
      <c r="C6" s="119" t="s">
        <v>4</v>
      </c>
      <c r="D6" s="7" t="s">
        <v>5</v>
      </c>
      <c r="E6" s="119" t="s">
        <v>6</v>
      </c>
      <c r="F6" s="7" t="s">
        <v>7</v>
      </c>
      <c r="G6" s="120" t="s">
        <v>211</v>
      </c>
      <c r="H6" s="121" t="s">
        <v>205</v>
      </c>
      <c r="I6" s="122" t="s">
        <v>278</v>
      </c>
      <c r="J6" s="7" t="s">
        <v>279</v>
      </c>
      <c r="K6" s="119" t="s">
        <v>3</v>
      </c>
      <c r="L6" s="7" t="s">
        <v>280</v>
      </c>
      <c r="M6" s="119" t="s">
        <v>3</v>
      </c>
      <c r="N6" s="75" t="s">
        <v>214</v>
      </c>
      <c r="O6" s="75" t="s">
        <v>14</v>
      </c>
    </row>
    <row r="7" spans="1:15" ht="16.5" thickBot="1" x14ac:dyDescent="0.3">
      <c r="A7" s="203" t="s">
        <v>15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5"/>
    </row>
    <row r="8" spans="1:15" x14ac:dyDescent="0.25">
      <c r="A8" s="36">
        <v>1</v>
      </c>
      <c r="B8" s="36" t="s">
        <v>21</v>
      </c>
      <c r="C8" s="36" t="s">
        <v>216</v>
      </c>
      <c r="D8" s="36">
        <v>264490</v>
      </c>
      <c r="E8" s="36" t="s">
        <v>193</v>
      </c>
      <c r="F8" s="36" t="s">
        <v>217</v>
      </c>
      <c r="G8" s="37">
        <v>45660</v>
      </c>
      <c r="H8" s="38">
        <v>20000</v>
      </c>
      <c r="I8" s="38">
        <v>1000</v>
      </c>
      <c r="J8" s="38">
        <f>+I8/2</f>
        <v>500</v>
      </c>
      <c r="K8" s="38" t="s">
        <v>281</v>
      </c>
      <c r="L8" s="38">
        <f>+I8/2</f>
        <v>500</v>
      </c>
      <c r="M8" s="38" t="s">
        <v>281</v>
      </c>
      <c r="N8" s="36"/>
      <c r="O8" s="48"/>
    </row>
    <row r="9" spans="1:15" ht="15.75" thickBot="1" x14ac:dyDescent="0.3">
      <c r="A9" s="13">
        <v>2</v>
      </c>
      <c r="B9" s="13" t="s">
        <v>16</v>
      </c>
      <c r="C9" s="13" t="s">
        <v>164</v>
      </c>
      <c r="D9" s="13">
        <v>255868</v>
      </c>
      <c r="E9" s="13" t="s">
        <v>33</v>
      </c>
      <c r="F9" s="13" t="s">
        <v>165</v>
      </c>
      <c r="G9" s="14">
        <v>45679</v>
      </c>
      <c r="H9" s="15">
        <v>29000</v>
      </c>
      <c r="I9" s="15">
        <f>+H9*5%</f>
        <v>1450</v>
      </c>
      <c r="J9" s="15">
        <f>+I9/2</f>
        <v>725</v>
      </c>
      <c r="K9" s="15" t="s">
        <v>283</v>
      </c>
      <c r="L9" s="15">
        <f>+I9/2</f>
        <v>725</v>
      </c>
      <c r="M9" s="15" t="s">
        <v>283</v>
      </c>
      <c r="N9" s="82" t="s">
        <v>220</v>
      </c>
      <c r="O9" s="48"/>
    </row>
    <row r="10" spans="1:15" ht="16.5" thickBot="1" x14ac:dyDescent="0.3">
      <c r="A10" s="203" t="s">
        <v>51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5"/>
    </row>
    <row r="11" spans="1:15" x14ac:dyDescent="0.25">
      <c r="A11" s="36">
        <v>1</v>
      </c>
      <c r="B11" s="162" t="s">
        <v>31</v>
      </c>
      <c r="C11" s="162" t="s">
        <v>190</v>
      </c>
      <c r="D11" s="162">
        <v>262063</v>
      </c>
      <c r="E11" s="162" t="s">
        <v>17</v>
      </c>
      <c r="F11" s="162" t="s">
        <v>46</v>
      </c>
      <c r="G11" s="37">
        <v>45696</v>
      </c>
      <c r="H11" s="38">
        <v>13800</v>
      </c>
      <c r="I11" s="38">
        <v>1000</v>
      </c>
      <c r="J11" s="38">
        <f>+I11/2</f>
        <v>500</v>
      </c>
      <c r="K11" s="36" t="s">
        <v>284</v>
      </c>
      <c r="L11" s="38">
        <f>+I11/2</f>
        <v>500</v>
      </c>
      <c r="M11" s="36" t="s">
        <v>285</v>
      </c>
      <c r="N11" s="36"/>
      <c r="O11" s="163" t="s">
        <v>221</v>
      </c>
    </row>
    <row r="12" spans="1:15" x14ac:dyDescent="0.25">
      <c r="A12" s="13">
        <v>2</v>
      </c>
      <c r="B12" s="13" t="s">
        <v>16</v>
      </c>
      <c r="C12" s="13" t="s">
        <v>182</v>
      </c>
      <c r="D12" s="13">
        <v>260211</v>
      </c>
      <c r="E12" s="13" t="s">
        <v>17</v>
      </c>
      <c r="F12" s="13" t="s">
        <v>96</v>
      </c>
      <c r="G12" s="14">
        <v>45698</v>
      </c>
      <c r="H12" s="15">
        <v>26500</v>
      </c>
      <c r="I12" s="15">
        <f>+H12*5%</f>
        <v>1325</v>
      </c>
      <c r="J12" s="15">
        <f>+I12/2</f>
        <v>662.5</v>
      </c>
      <c r="K12" s="13" t="s">
        <v>283</v>
      </c>
      <c r="L12" s="15">
        <f>+I12/2</f>
        <v>662.5</v>
      </c>
      <c r="M12" s="13" t="s">
        <v>283</v>
      </c>
      <c r="N12" s="82" t="s">
        <v>220</v>
      </c>
      <c r="O12" s="13"/>
    </row>
    <row r="13" spans="1:15" ht="15.75" thickBot="1" x14ac:dyDescent="0.3">
      <c r="A13" s="99">
        <v>3</v>
      </c>
      <c r="B13" s="99" t="s">
        <v>122</v>
      </c>
      <c r="C13" s="99" t="s">
        <v>241</v>
      </c>
      <c r="D13" s="99">
        <v>264499</v>
      </c>
      <c r="E13" s="99" t="s">
        <v>193</v>
      </c>
      <c r="F13" s="99" t="s">
        <v>27</v>
      </c>
      <c r="G13" s="100">
        <v>45703</v>
      </c>
      <c r="H13" s="101">
        <v>29000</v>
      </c>
      <c r="I13" s="101">
        <f>+H13*5%</f>
        <v>1450</v>
      </c>
      <c r="J13" s="101">
        <f>+I13/2</f>
        <v>725</v>
      </c>
      <c r="K13" s="99" t="s">
        <v>122</v>
      </c>
      <c r="L13" s="101">
        <f>+I13/2</f>
        <v>725</v>
      </c>
      <c r="M13" s="99" t="s">
        <v>286</v>
      </c>
      <c r="N13" s="125" t="s">
        <v>242</v>
      </c>
      <c r="O13" s="125" t="s">
        <v>243</v>
      </c>
    </row>
    <row r="14" spans="1:15" ht="16.5" thickBot="1" x14ac:dyDescent="0.3">
      <c r="A14" s="203" t="s">
        <v>66</v>
      </c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5"/>
    </row>
    <row r="15" spans="1:15" x14ac:dyDescent="0.25">
      <c r="A15" s="13">
        <v>1</v>
      </c>
      <c r="B15" s="13" t="s">
        <v>40</v>
      </c>
      <c r="C15" s="13" t="s">
        <v>265</v>
      </c>
      <c r="D15" s="13">
        <v>273713</v>
      </c>
      <c r="E15" s="13" t="s">
        <v>17</v>
      </c>
      <c r="F15" s="13" t="s">
        <v>266</v>
      </c>
      <c r="G15" s="37">
        <v>45723</v>
      </c>
      <c r="H15" s="38">
        <v>8300</v>
      </c>
      <c r="I15" s="38">
        <v>1000</v>
      </c>
      <c r="J15" s="38">
        <f>+I15/2</f>
        <v>500</v>
      </c>
      <c r="K15" s="36" t="s">
        <v>282</v>
      </c>
      <c r="L15" s="38">
        <f>+I15/2</f>
        <v>500</v>
      </c>
      <c r="M15" s="36" t="s">
        <v>282</v>
      </c>
      <c r="N15" s="36"/>
      <c r="O15" s="70"/>
    </row>
    <row r="16" spans="1:15" x14ac:dyDescent="0.25">
      <c r="A16" s="13">
        <v>2</v>
      </c>
      <c r="B16" s="13" t="s">
        <v>16</v>
      </c>
      <c r="C16" s="13" t="s">
        <v>185</v>
      </c>
      <c r="D16" s="13">
        <v>261265</v>
      </c>
      <c r="E16" s="13" t="s">
        <v>17</v>
      </c>
      <c r="F16" s="13" t="s">
        <v>186</v>
      </c>
      <c r="G16" s="14">
        <v>45726</v>
      </c>
      <c r="H16" s="15">
        <v>17500</v>
      </c>
      <c r="I16" s="123">
        <v>1000</v>
      </c>
      <c r="J16" s="124">
        <f>+I16/2</f>
        <v>500</v>
      </c>
      <c r="K16" s="13" t="s">
        <v>283</v>
      </c>
      <c r="L16" s="124">
        <f>+I16/2</f>
        <v>500</v>
      </c>
      <c r="M16" s="13" t="s">
        <v>290</v>
      </c>
      <c r="N16" s="13"/>
      <c r="O16" s="48" t="s">
        <v>289</v>
      </c>
    </row>
    <row r="17" spans="1:15" x14ac:dyDescent="0.25">
      <c r="A17" s="129">
        <v>3</v>
      </c>
      <c r="B17" s="129" t="s">
        <v>31</v>
      </c>
      <c r="C17" s="129" t="s">
        <v>339</v>
      </c>
      <c r="D17" s="129" t="s">
        <v>339</v>
      </c>
      <c r="E17" s="129" t="s">
        <v>17</v>
      </c>
      <c r="F17" s="129" t="s">
        <v>217</v>
      </c>
      <c r="G17" s="130"/>
      <c r="H17" s="131">
        <v>18000</v>
      </c>
      <c r="I17" s="131">
        <v>1000</v>
      </c>
      <c r="J17" s="131">
        <f>+I17/2</f>
        <v>500</v>
      </c>
      <c r="K17" s="129" t="s">
        <v>341</v>
      </c>
      <c r="L17" s="131">
        <f>+I17/2</f>
        <v>500</v>
      </c>
      <c r="M17" s="129" t="s">
        <v>284</v>
      </c>
      <c r="N17" s="129"/>
      <c r="O17" s="132" t="s">
        <v>340</v>
      </c>
    </row>
    <row r="18" spans="1:15" ht="15.75" thickBot="1" x14ac:dyDescent="0.3">
      <c r="A18" s="13">
        <v>4</v>
      </c>
      <c r="B18" s="18" t="s">
        <v>40</v>
      </c>
      <c r="C18" s="18" t="s">
        <v>343</v>
      </c>
      <c r="D18" s="18">
        <v>275633</v>
      </c>
      <c r="E18" s="18" t="s">
        <v>344</v>
      </c>
      <c r="F18" s="18" t="s">
        <v>345</v>
      </c>
      <c r="G18" s="14">
        <v>45736</v>
      </c>
      <c r="H18" s="15">
        <v>200</v>
      </c>
      <c r="I18" s="15">
        <v>200</v>
      </c>
      <c r="J18" s="15">
        <f>+I18/2</f>
        <v>100</v>
      </c>
      <c r="K18" s="13" t="s">
        <v>282</v>
      </c>
      <c r="L18" s="15">
        <f>+I18/2</f>
        <v>100</v>
      </c>
      <c r="M18" s="13" t="s">
        <v>282</v>
      </c>
      <c r="N18" s="13"/>
      <c r="O18" s="46"/>
    </row>
    <row r="19" spans="1:15" ht="16.5" thickBot="1" x14ac:dyDescent="0.3">
      <c r="A19" s="203" t="s">
        <v>71</v>
      </c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5"/>
    </row>
    <row r="20" spans="1:15" x14ac:dyDescent="0.25">
      <c r="A20" s="36">
        <v>1</v>
      </c>
      <c r="B20" s="36" t="s">
        <v>40</v>
      </c>
      <c r="C20" s="36" t="s">
        <v>196</v>
      </c>
      <c r="D20" s="36">
        <v>263446</v>
      </c>
      <c r="E20" s="36" t="s">
        <v>33</v>
      </c>
      <c r="F20" s="36" t="s">
        <v>52</v>
      </c>
      <c r="G20" s="37">
        <v>45749</v>
      </c>
      <c r="H20" s="38">
        <v>29500</v>
      </c>
      <c r="I20" s="38">
        <f>+H20*5%</f>
        <v>1475</v>
      </c>
      <c r="J20" s="38">
        <f>+I20/2</f>
        <v>737.5</v>
      </c>
      <c r="K20" s="38" t="s">
        <v>282</v>
      </c>
      <c r="L20" s="38">
        <f>+I20/2</f>
        <v>737.5</v>
      </c>
      <c r="M20" s="36" t="s">
        <v>282</v>
      </c>
      <c r="N20" s="150" t="s">
        <v>369</v>
      </c>
      <c r="O20" s="36"/>
    </row>
    <row r="21" spans="1:15" x14ac:dyDescent="0.25">
      <c r="A21" s="13">
        <v>2</v>
      </c>
      <c r="B21" s="13" t="s">
        <v>122</v>
      </c>
      <c r="C21" s="13" t="s">
        <v>168</v>
      </c>
      <c r="D21" s="13">
        <v>256574</v>
      </c>
      <c r="E21" s="13" t="s">
        <v>17</v>
      </c>
      <c r="F21" s="13" t="s">
        <v>169</v>
      </c>
      <c r="G21" s="14">
        <v>45776</v>
      </c>
      <c r="H21" s="15">
        <v>40000</v>
      </c>
      <c r="I21" s="15">
        <f>+H21*5%</f>
        <v>2000</v>
      </c>
      <c r="J21" s="15">
        <f>+I21/2</f>
        <v>1000</v>
      </c>
      <c r="K21" s="15" t="s">
        <v>122</v>
      </c>
      <c r="L21" s="15">
        <f>+I21/2</f>
        <v>1000</v>
      </c>
      <c r="M21" s="13" t="s">
        <v>408</v>
      </c>
      <c r="N21" s="149" t="s">
        <v>409</v>
      </c>
      <c r="O21" s="48" t="s">
        <v>342</v>
      </c>
    </row>
    <row r="22" spans="1:15" ht="15.75" thickBot="1" x14ac:dyDescent="0.3">
      <c r="A22" s="13">
        <v>3</v>
      </c>
      <c r="B22" s="13" t="s">
        <v>31</v>
      </c>
      <c r="C22" s="13" t="s">
        <v>293</v>
      </c>
      <c r="D22" s="13">
        <v>264023</v>
      </c>
      <c r="E22" s="13" t="s">
        <v>193</v>
      </c>
      <c r="F22" s="13" t="s">
        <v>294</v>
      </c>
      <c r="G22" s="14">
        <v>45777</v>
      </c>
      <c r="H22" s="15">
        <v>160</v>
      </c>
      <c r="I22" s="15">
        <v>320</v>
      </c>
      <c r="J22" s="15">
        <f>+I22/2</f>
        <v>160</v>
      </c>
      <c r="K22" s="13" t="s">
        <v>284</v>
      </c>
      <c r="L22" s="15">
        <f>+I22/2</f>
        <v>160</v>
      </c>
      <c r="M22" s="13" t="s">
        <v>284</v>
      </c>
      <c r="N22" s="13"/>
      <c r="O22" s="13"/>
    </row>
    <row r="23" spans="1:15" ht="16.5" thickBot="1" x14ac:dyDescent="0.3">
      <c r="A23" s="203" t="s">
        <v>87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5"/>
    </row>
    <row r="24" spans="1:15" s="115" customFormat="1" x14ac:dyDescent="0.2">
      <c r="A24" s="158">
        <v>1</v>
      </c>
      <c r="B24" s="159" t="s">
        <v>16</v>
      </c>
      <c r="C24" s="159" t="s">
        <v>141</v>
      </c>
      <c r="D24" s="159">
        <v>250486</v>
      </c>
      <c r="E24" s="159" t="s">
        <v>17</v>
      </c>
      <c r="F24" s="159" t="s">
        <v>142</v>
      </c>
      <c r="G24" s="160">
        <v>45783</v>
      </c>
      <c r="H24" s="161">
        <v>10500</v>
      </c>
      <c r="I24" s="161">
        <v>1000</v>
      </c>
      <c r="J24" s="161">
        <f t="shared" ref="J24:J30" si="0">+I24/2</f>
        <v>500</v>
      </c>
      <c r="K24" s="158" t="s">
        <v>283</v>
      </c>
      <c r="L24" s="161">
        <f>+I24/2</f>
        <v>500</v>
      </c>
      <c r="M24" s="158" t="s">
        <v>283</v>
      </c>
      <c r="N24" s="158"/>
      <c r="O24" s="158"/>
    </row>
    <row r="25" spans="1:15" s="115" customFormat="1" x14ac:dyDescent="0.2">
      <c r="A25" s="151">
        <v>2</v>
      </c>
      <c r="B25" s="151" t="s">
        <v>31</v>
      </c>
      <c r="C25" s="151" t="s">
        <v>339</v>
      </c>
      <c r="D25" s="151" t="s">
        <v>339</v>
      </c>
      <c r="E25" s="151" t="s">
        <v>17</v>
      </c>
      <c r="F25" s="151" t="s">
        <v>217</v>
      </c>
      <c r="G25" s="154">
        <v>45786</v>
      </c>
      <c r="H25" s="153">
        <v>18000</v>
      </c>
      <c r="I25" s="153">
        <v>1000</v>
      </c>
      <c r="J25" s="153">
        <f t="shared" si="0"/>
        <v>500</v>
      </c>
      <c r="K25" s="151" t="s">
        <v>284</v>
      </c>
      <c r="L25" s="153">
        <v>500</v>
      </c>
      <c r="M25" s="151" t="s">
        <v>341</v>
      </c>
      <c r="N25" s="151"/>
      <c r="O25" s="151"/>
    </row>
    <row r="26" spans="1:15" s="115" customFormat="1" x14ac:dyDescent="0.2">
      <c r="A26" s="151">
        <v>3</v>
      </c>
      <c r="B26" s="151" t="s">
        <v>40</v>
      </c>
      <c r="C26" s="151" t="s">
        <v>287</v>
      </c>
      <c r="D26" s="151">
        <v>273978</v>
      </c>
      <c r="E26" s="151" t="s">
        <v>17</v>
      </c>
      <c r="F26" s="151" t="s">
        <v>288</v>
      </c>
      <c r="G26" s="154">
        <v>45786</v>
      </c>
      <c r="H26" s="153">
        <v>23000</v>
      </c>
      <c r="I26" s="153">
        <f>+H26*5%</f>
        <v>1150</v>
      </c>
      <c r="J26" s="153">
        <f t="shared" si="0"/>
        <v>575</v>
      </c>
      <c r="K26" s="151" t="s">
        <v>282</v>
      </c>
      <c r="L26" s="153">
        <f>+I26/2</f>
        <v>575</v>
      </c>
      <c r="M26" s="151" t="s">
        <v>282</v>
      </c>
      <c r="N26" s="151"/>
      <c r="O26" s="151"/>
    </row>
    <row r="27" spans="1:15" s="115" customFormat="1" x14ac:dyDescent="0.2">
      <c r="A27" s="151">
        <v>4</v>
      </c>
      <c r="B27" s="151" t="s">
        <v>16</v>
      </c>
      <c r="C27" s="151" t="s">
        <v>152</v>
      </c>
      <c r="D27" s="151">
        <v>252305</v>
      </c>
      <c r="E27" s="151" t="s">
        <v>33</v>
      </c>
      <c r="F27" s="151" t="s">
        <v>153</v>
      </c>
      <c r="G27" s="154">
        <v>45787</v>
      </c>
      <c r="H27" s="153">
        <v>25000</v>
      </c>
      <c r="I27" s="153">
        <f>+H27*5%</f>
        <v>1250</v>
      </c>
      <c r="J27" s="153">
        <f t="shared" si="0"/>
        <v>625</v>
      </c>
      <c r="K27" s="151" t="s">
        <v>283</v>
      </c>
      <c r="L27" s="153">
        <f>+I27/2</f>
        <v>625</v>
      </c>
      <c r="M27" s="151" t="s">
        <v>283</v>
      </c>
      <c r="N27" s="156" t="s">
        <v>417</v>
      </c>
      <c r="O27" s="151"/>
    </row>
    <row r="28" spans="1:15" s="115" customFormat="1" x14ac:dyDescent="0.2">
      <c r="A28" s="151">
        <v>5</v>
      </c>
      <c r="B28" s="18" t="s">
        <v>31</v>
      </c>
      <c r="C28" s="18" t="s">
        <v>358</v>
      </c>
      <c r="D28" s="18">
        <v>276706</v>
      </c>
      <c r="E28" s="18" t="s">
        <v>17</v>
      </c>
      <c r="F28" s="18" t="s">
        <v>370</v>
      </c>
      <c r="G28" s="154">
        <v>45797</v>
      </c>
      <c r="H28" s="153">
        <v>21500</v>
      </c>
      <c r="I28" s="153">
        <f>+H28*5%</f>
        <v>1075</v>
      </c>
      <c r="J28" s="153">
        <f t="shared" si="0"/>
        <v>537.5</v>
      </c>
      <c r="K28" s="151" t="s">
        <v>284</v>
      </c>
      <c r="L28" s="153">
        <f>+I28/2</f>
        <v>537.5</v>
      </c>
      <c r="M28" s="151" t="s">
        <v>438</v>
      </c>
      <c r="N28" s="48" t="s">
        <v>437</v>
      </c>
      <c r="O28" s="48" t="s">
        <v>371</v>
      </c>
    </row>
    <row r="29" spans="1:15" s="115" customFormat="1" x14ac:dyDescent="0.2">
      <c r="A29" s="151">
        <v>6</v>
      </c>
      <c r="B29" s="152" t="s">
        <v>122</v>
      </c>
      <c r="C29" s="152" t="s">
        <v>427</v>
      </c>
      <c r="D29" s="152">
        <v>284488</v>
      </c>
      <c r="E29" s="152" t="s">
        <v>93</v>
      </c>
      <c r="F29" s="152" t="s">
        <v>104</v>
      </c>
      <c r="G29" s="154">
        <v>45804</v>
      </c>
      <c r="H29" s="153">
        <v>500</v>
      </c>
      <c r="I29" s="153">
        <v>1000</v>
      </c>
      <c r="J29" s="153">
        <f t="shared" si="0"/>
        <v>500</v>
      </c>
      <c r="K29" s="151" t="s">
        <v>122</v>
      </c>
      <c r="L29" s="153">
        <f>+I29/2</f>
        <v>500</v>
      </c>
      <c r="M29" s="151" t="s">
        <v>282</v>
      </c>
      <c r="N29" s="151"/>
      <c r="O29" s="151"/>
    </row>
    <row r="30" spans="1:15" s="115" customFormat="1" ht="15.75" thickBot="1" x14ac:dyDescent="0.25">
      <c r="A30" s="151">
        <v>7</v>
      </c>
      <c r="B30" s="18" t="s">
        <v>387</v>
      </c>
      <c r="C30" s="18" t="s">
        <v>392</v>
      </c>
      <c r="D30" s="18">
        <v>280338</v>
      </c>
      <c r="E30" s="18" t="s">
        <v>17</v>
      </c>
      <c r="F30" s="18" t="s">
        <v>393</v>
      </c>
      <c r="G30" s="154">
        <v>45805</v>
      </c>
      <c r="H30" s="153">
        <v>16500</v>
      </c>
      <c r="I30" s="153">
        <v>1000</v>
      </c>
      <c r="J30" s="153">
        <f t="shared" si="0"/>
        <v>500</v>
      </c>
      <c r="K30" s="151" t="s">
        <v>436</v>
      </c>
      <c r="L30" s="153">
        <f>+I30/2</f>
        <v>500</v>
      </c>
      <c r="M30" s="151" t="s">
        <v>436</v>
      </c>
      <c r="N30" s="151"/>
      <c r="O30" s="151"/>
    </row>
    <row r="31" spans="1:15" s="115" customFormat="1" ht="16.5" thickBot="1" x14ac:dyDescent="0.25">
      <c r="A31" s="203" t="s">
        <v>97</v>
      </c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5"/>
    </row>
    <row r="32" spans="1:15" s="115" customFormat="1" x14ac:dyDescent="0.2">
      <c r="A32" s="36">
        <v>1</v>
      </c>
      <c r="B32" s="13" t="s">
        <v>380</v>
      </c>
      <c r="C32" s="18" t="s">
        <v>405</v>
      </c>
      <c r="D32" s="13">
        <v>281742</v>
      </c>
      <c r="E32" s="13" t="s">
        <v>17</v>
      </c>
      <c r="F32" s="13" t="s">
        <v>406</v>
      </c>
      <c r="G32" s="37">
        <v>45810</v>
      </c>
      <c r="H32" s="38">
        <v>20000</v>
      </c>
      <c r="I32" s="38">
        <v>1000</v>
      </c>
      <c r="J32" s="38">
        <f>+I32/2</f>
        <v>500</v>
      </c>
      <c r="K32" s="36" t="s">
        <v>456</v>
      </c>
      <c r="L32" s="38">
        <f>+I32/2</f>
        <v>500</v>
      </c>
      <c r="M32" s="36" t="s">
        <v>456</v>
      </c>
      <c r="N32" s="36"/>
      <c r="O32" s="36"/>
    </row>
    <row r="33" spans="1:15" s="115" customFormat="1" x14ac:dyDescent="0.2">
      <c r="A33" s="13">
        <v>2</v>
      </c>
      <c r="B33" s="18" t="s">
        <v>31</v>
      </c>
      <c r="C33" s="18" t="s">
        <v>439</v>
      </c>
      <c r="D33" s="18">
        <v>284892</v>
      </c>
      <c r="E33" s="18" t="s">
        <v>36</v>
      </c>
      <c r="F33" s="18" t="s">
        <v>440</v>
      </c>
      <c r="G33" s="19">
        <v>45779</v>
      </c>
      <c r="H33" s="15">
        <v>6000</v>
      </c>
      <c r="I33" s="166">
        <v>500</v>
      </c>
      <c r="J33" s="151">
        <f>+I33/2</f>
        <v>250</v>
      </c>
      <c r="K33" s="13" t="s">
        <v>284</v>
      </c>
      <c r="L33" s="15">
        <f>+I33/2</f>
        <v>250</v>
      </c>
      <c r="M33" s="13" t="s">
        <v>284</v>
      </c>
      <c r="N33" s="13"/>
      <c r="O33" s="13"/>
    </row>
    <row r="34" spans="1:15" s="115" customFormat="1" x14ac:dyDescent="0.2">
      <c r="A34" s="13">
        <v>3</v>
      </c>
      <c r="B34" s="18" t="s">
        <v>378</v>
      </c>
      <c r="C34" s="18" t="s">
        <v>390</v>
      </c>
      <c r="D34" s="18">
        <v>280311</v>
      </c>
      <c r="E34" s="18" t="s">
        <v>36</v>
      </c>
      <c r="F34" s="18" t="s">
        <v>391</v>
      </c>
      <c r="G34" s="14">
        <v>45821</v>
      </c>
      <c r="H34" s="15">
        <v>52500</v>
      </c>
      <c r="I34" s="15">
        <f>+H34*4%</f>
        <v>2100</v>
      </c>
      <c r="J34" s="15">
        <f>+I34/2</f>
        <v>1050</v>
      </c>
      <c r="K34" s="13" t="s">
        <v>469</v>
      </c>
      <c r="L34" s="15">
        <f>+I34/2</f>
        <v>1050</v>
      </c>
      <c r="M34" s="13" t="s">
        <v>436</v>
      </c>
      <c r="N34" s="13"/>
      <c r="O34" s="13"/>
    </row>
    <row r="35" spans="1:15" x14ac:dyDescent="0.25">
      <c r="A35" s="13">
        <v>4</v>
      </c>
      <c r="B35" s="13" t="s">
        <v>368</v>
      </c>
      <c r="C35" s="13" t="s">
        <v>383</v>
      </c>
      <c r="D35" s="13">
        <v>280218</v>
      </c>
      <c r="E35" s="13" t="s">
        <v>36</v>
      </c>
      <c r="F35" s="13" t="s">
        <v>384</v>
      </c>
      <c r="G35" s="14">
        <v>45824</v>
      </c>
      <c r="H35" s="15">
        <v>21500</v>
      </c>
      <c r="I35" s="15">
        <f>+H35*5%</f>
        <v>1075</v>
      </c>
      <c r="J35" s="15">
        <f>+I35/2</f>
        <v>537.5</v>
      </c>
      <c r="K35" s="13" t="s">
        <v>283</v>
      </c>
      <c r="L35" s="15">
        <f>+I35/2</f>
        <v>537.5</v>
      </c>
      <c r="M35" s="13" t="s">
        <v>283</v>
      </c>
      <c r="N35" s="55"/>
      <c r="O35" s="55"/>
    </row>
    <row r="36" spans="1:15" ht="15.75" thickBot="1" x14ac:dyDescent="0.3">
      <c r="A36" s="13">
        <v>5</v>
      </c>
      <c r="B36" s="13" t="s">
        <v>472</v>
      </c>
      <c r="C36" s="13" t="s">
        <v>473</v>
      </c>
      <c r="D36" s="13">
        <v>288109</v>
      </c>
      <c r="E36" s="13" t="s">
        <v>63</v>
      </c>
      <c r="F36" s="13" t="s">
        <v>404</v>
      </c>
      <c r="G36" s="14">
        <v>45829</v>
      </c>
      <c r="H36" s="15">
        <v>750</v>
      </c>
      <c r="I36" s="15">
        <v>750</v>
      </c>
      <c r="J36" s="15">
        <f>+H36/2</f>
        <v>375</v>
      </c>
      <c r="K36" s="13" t="s">
        <v>282</v>
      </c>
      <c r="L36" s="15">
        <f>+I36/2</f>
        <v>375</v>
      </c>
      <c r="M36" s="13" t="str">
        <f>+K36</f>
        <v>Castellanos</v>
      </c>
      <c r="N36" s="55"/>
      <c r="O36" s="55"/>
    </row>
    <row r="37" spans="1:15" ht="16.5" thickBot="1" x14ac:dyDescent="0.3">
      <c r="A37" s="203" t="s">
        <v>116</v>
      </c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5"/>
    </row>
    <row r="38" spans="1:15" s="78" customFormat="1" x14ac:dyDescent="0.2">
      <c r="A38" s="13">
        <v>1</v>
      </c>
      <c r="B38" s="13" t="s">
        <v>472</v>
      </c>
      <c r="C38" s="13" t="s">
        <v>339</v>
      </c>
      <c r="D38" s="13" t="s">
        <v>339</v>
      </c>
      <c r="E38" s="13" t="s">
        <v>17</v>
      </c>
      <c r="F38" s="13" t="s">
        <v>481</v>
      </c>
      <c r="G38" s="14">
        <v>45842</v>
      </c>
      <c r="H38" s="15">
        <v>20500</v>
      </c>
      <c r="I38" s="15">
        <v>1000</v>
      </c>
      <c r="J38" s="15">
        <f>+I38/2</f>
        <v>500</v>
      </c>
      <c r="K38" s="13" t="s">
        <v>282</v>
      </c>
      <c r="L38" s="15">
        <f>+I38/2</f>
        <v>500</v>
      </c>
      <c r="M38" s="13" t="s">
        <v>496</v>
      </c>
      <c r="N38" s="13"/>
      <c r="O38" s="13"/>
    </row>
    <row r="39" spans="1:15" s="78" customFormat="1" x14ac:dyDescent="0.2">
      <c r="A39" s="13">
        <v>2</v>
      </c>
      <c r="B39" s="18" t="s">
        <v>380</v>
      </c>
      <c r="C39" s="18" t="s">
        <v>418</v>
      </c>
      <c r="D39" s="18">
        <v>282937</v>
      </c>
      <c r="E39" s="18" t="s">
        <v>17</v>
      </c>
      <c r="F39" s="18" t="s">
        <v>406</v>
      </c>
      <c r="G39" s="14">
        <v>45852</v>
      </c>
      <c r="H39" s="15">
        <v>14000</v>
      </c>
      <c r="I39" s="15">
        <v>1000</v>
      </c>
      <c r="J39" s="15">
        <f>+I39/2</f>
        <v>500</v>
      </c>
      <c r="K39" s="13" t="s">
        <v>456</v>
      </c>
      <c r="L39" s="15">
        <f>+I39/2</f>
        <v>500</v>
      </c>
      <c r="M39" s="13" t="s">
        <v>456</v>
      </c>
      <c r="N39" s="149" t="s">
        <v>455</v>
      </c>
      <c r="O39" s="13"/>
    </row>
    <row r="40" spans="1:15" s="78" customFormat="1" x14ac:dyDescent="0.2">
      <c r="A40" s="13">
        <v>3</v>
      </c>
      <c r="B40" s="13" t="s">
        <v>16</v>
      </c>
      <c r="C40" s="13" t="s">
        <v>161</v>
      </c>
      <c r="D40" s="13">
        <v>255139</v>
      </c>
      <c r="E40" s="13" t="s">
        <v>17</v>
      </c>
      <c r="F40" s="13" t="s">
        <v>162</v>
      </c>
      <c r="G40" s="37">
        <v>45854</v>
      </c>
      <c r="H40" s="38">
        <v>11500</v>
      </c>
      <c r="I40" s="15">
        <v>1000</v>
      </c>
      <c r="J40" s="15">
        <v>500</v>
      </c>
      <c r="K40" s="13" t="s">
        <v>283</v>
      </c>
      <c r="L40" s="15">
        <f>+I40/2</f>
        <v>500</v>
      </c>
      <c r="M40" s="13" t="s">
        <v>283</v>
      </c>
      <c r="N40" s="13"/>
      <c r="O40" s="13"/>
    </row>
    <row r="41" spans="1:15" s="78" customFormat="1" x14ac:dyDescent="0.2">
      <c r="A41" s="13">
        <v>4</v>
      </c>
      <c r="B41" s="13" t="s">
        <v>31</v>
      </c>
      <c r="C41" s="13" t="s">
        <v>484</v>
      </c>
      <c r="D41" s="13">
        <v>288971</v>
      </c>
      <c r="E41" s="13" t="s">
        <v>63</v>
      </c>
      <c r="F41" s="13" t="s">
        <v>404</v>
      </c>
      <c r="G41" s="37">
        <v>45855</v>
      </c>
      <c r="H41" s="38">
        <v>700</v>
      </c>
      <c r="I41" s="15">
        <v>700</v>
      </c>
      <c r="J41" s="15">
        <v>350</v>
      </c>
      <c r="K41" s="13" t="s">
        <v>284</v>
      </c>
      <c r="L41" s="15">
        <f>+I41/2</f>
        <v>350</v>
      </c>
      <c r="M41" s="13" t="s">
        <v>284</v>
      </c>
      <c r="N41" s="13"/>
      <c r="O41" s="13"/>
    </row>
    <row r="42" spans="1:15" s="78" customFormat="1" x14ac:dyDescent="0.2">
      <c r="A42" s="13">
        <v>5</v>
      </c>
      <c r="B42" s="18" t="s">
        <v>16</v>
      </c>
      <c r="C42" s="18" t="s">
        <v>234</v>
      </c>
      <c r="D42" s="18">
        <v>268756</v>
      </c>
      <c r="E42" s="18" t="s">
        <v>36</v>
      </c>
      <c r="F42" s="18" t="s">
        <v>235</v>
      </c>
      <c r="G42" s="37">
        <v>45856</v>
      </c>
      <c r="H42" s="38">
        <v>26000</v>
      </c>
      <c r="I42" s="15">
        <f>+H42*5%</f>
        <v>1300</v>
      </c>
      <c r="J42" s="15">
        <f>+I42/2</f>
        <v>650</v>
      </c>
      <c r="K42" s="13" t="s">
        <v>283</v>
      </c>
      <c r="L42" s="15">
        <v>650</v>
      </c>
      <c r="M42" s="13" t="s">
        <v>283</v>
      </c>
      <c r="N42" s="27" t="s">
        <v>195</v>
      </c>
      <c r="O42" s="13"/>
    </row>
    <row r="43" spans="1:15" s="78" customFormat="1" ht="15.75" thickBot="1" x14ac:dyDescent="0.25">
      <c r="A43" s="13">
        <v>6</v>
      </c>
      <c r="B43" s="18" t="s">
        <v>16</v>
      </c>
      <c r="C43" s="18" t="s">
        <v>490</v>
      </c>
      <c r="D43" s="18">
        <v>289567</v>
      </c>
      <c r="E43" s="18" t="s">
        <v>17</v>
      </c>
      <c r="F43" s="18" t="s">
        <v>239</v>
      </c>
      <c r="G43" s="14">
        <v>45861</v>
      </c>
      <c r="H43" s="15">
        <v>14000</v>
      </c>
      <c r="I43" s="15">
        <v>1000</v>
      </c>
      <c r="J43" s="15">
        <f>+I43/2</f>
        <v>500</v>
      </c>
      <c r="K43" s="13" t="s">
        <v>283</v>
      </c>
      <c r="L43" s="15">
        <v>500</v>
      </c>
      <c r="M43" s="13" t="s">
        <v>283</v>
      </c>
      <c r="N43" s="13"/>
      <c r="O43" s="13"/>
    </row>
    <row r="44" spans="1:15" s="78" customFormat="1" ht="16.5" thickBot="1" x14ac:dyDescent="0.25">
      <c r="A44" s="203" t="s">
        <v>130</v>
      </c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5"/>
    </row>
    <row r="45" spans="1:15" s="78" customFormat="1" x14ac:dyDescent="0.2">
      <c r="A45" s="13">
        <v>1</v>
      </c>
      <c r="B45" s="18" t="s">
        <v>380</v>
      </c>
      <c r="C45" s="18" t="s">
        <v>430</v>
      </c>
      <c r="D45" s="18">
        <v>283749</v>
      </c>
      <c r="E45" s="18" t="s">
        <v>36</v>
      </c>
      <c r="F45" s="18" t="s">
        <v>431</v>
      </c>
      <c r="G45" s="14">
        <v>45870</v>
      </c>
      <c r="H45" s="15">
        <v>23000</v>
      </c>
      <c r="I45" s="15">
        <f>+H45*5%</f>
        <v>1150</v>
      </c>
      <c r="J45" s="15">
        <f>+I45/2</f>
        <v>575</v>
      </c>
      <c r="K45" s="13" t="s">
        <v>456</v>
      </c>
      <c r="L45" s="15">
        <f>+I45</f>
        <v>1150</v>
      </c>
      <c r="M45" s="13" t="s">
        <v>456</v>
      </c>
      <c r="N45" s="13"/>
      <c r="O45" s="13"/>
    </row>
    <row r="46" spans="1:15" s="78" customFormat="1" x14ac:dyDescent="0.2">
      <c r="A46" s="13">
        <v>2</v>
      </c>
      <c r="B46" s="13" t="s">
        <v>40</v>
      </c>
      <c r="C46" s="13" t="s">
        <v>544</v>
      </c>
      <c r="D46" s="13">
        <v>294230</v>
      </c>
      <c r="E46" s="13" t="s">
        <v>17</v>
      </c>
      <c r="F46" s="13" t="s">
        <v>545</v>
      </c>
      <c r="G46" s="14">
        <v>45873</v>
      </c>
      <c r="H46" s="15">
        <v>220</v>
      </c>
      <c r="I46" s="15">
        <v>220</v>
      </c>
      <c r="J46" s="15">
        <f>+I46/2</f>
        <v>110</v>
      </c>
      <c r="K46" s="13" t="s">
        <v>282</v>
      </c>
      <c r="L46" s="15">
        <f>+I46/2</f>
        <v>110</v>
      </c>
      <c r="M46" s="13" t="s">
        <v>282</v>
      </c>
      <c r="N46" s="13"/>
      <c r="O46" s="13"/>
    </row>
    <row r="47" spans="1:15" s="78" customFormat="1" x14ac:dyDescent="0.2">
      <c r="A47" s="13">
        <v>3</v>
      </c>
      <c r="B47" s="13" t="s">
        <v>16</v>
      </c>
      <c r="C47" s="13" t="s">
        <v>249</v>
      </c>
      <c r="D47" s="13">
        <v>272979</v>
      </c>
      <c r="E47" s="13" t="s">
        <v>33</v>
      </c>
      <c r="F47" s="13" t="s">
        <v>253</v>
      </c>
      <c r="G47" s="14">
        <v>45874</v>
      </c>
      <c r="H47" s="15">
        <v>30500</v>
      </c>
      <c r="I47" s="15">
        <f>+H47*5%</f>
        <v>1525</v>
      </c>
      <c r="J47" s="15">
        <f>+I47/2</f>
        <v>762.5</v>
      </c>
      <c r="K47" s="13" t="s">
        <v>283</v>
      </c>
      <c r="L47" s="15">
        <f>+I47/2</f>
        <v>762.5</v>
      </c>
      <c r="M47" s="13" t="s">
        <v>555</v>
      </c>
      <c r="N47" s="48" t="s">
        <v>254</v>
      </c>
      <c r="O47" s="13"/>
    </row>
    <row r="48" spans="1:15" s="78" customFormat="1" x14ac:dyDescent="0.2">
      <c r="A48" s="13">
        <v>4</v>
      </c>
      <c r="B48" s="13" t="s">
        <v>40</v>
      </c>
      <c r="C48" s="13" t="s">
        <v>197</v>
      </c>
      <c r="D48" s="13">
        <v>263450</v>
      </c>
      <c r="E48" s="13" t="s">
        <v>33</v>
      </c>
      <c r="F48" s="13" t="s">
        <v>198</v>
      </c>
      <c r="G48" s="14">
        <v>45891</v>
      </c>
      <c r="H48" s="15">
        <v>23000</v>
      </c>
      <c r="I48" s="15">
        <f>+H48*5%</f>
        <v>1150</v>
      </c>
      <c r="J48" s="15">
        <f>+I48/2</f>
        <v>575</v>
      </c>
      <c r="K48" s="13" t="s">
        <v>282</v>
      </c>
      <c r="L48" s="123">
        <f>+I48/2</f>
        <v>575</v>
      </c>
      <c r="M48" s="48" t="s">
        <v>576</v>
      </c>
      <c r="N48" s="53" t="s">
        <v>561</v>
      </c>
      <c r="O48" s="13"/>
    </row>
    <row r="49" spans="1:15" s="78" customFormat="1" ht="15.75" thickBot="1" x14ac:dyDescent="0.25">
      <c r="A49" s="13">
        <v>5</v>
      </c>
      <c r="B49" s="13" t="s">
        <v>380</v>
      </c>
      <c r="C49" s="18" t="s">
        <v>541</v>
      </c>
      <c r="D49" s="18">
        <v>294160</v>
      </c>
      <c r="E49" s="13" t="s">
        <v>17</v>
      </c>
      <c r="F49" s="13" t="s">
        <v>542</v>
      </c>
      <c r="G49" s="14">
        <v>45891</v>
      </c>
      <c r="H49" s="15">
        <v>14000</v>
      </c>
      <c r="I49" s="15">
        <v>1000</v>
      </c>
      <c r="J49" s="15">
        <f>+I49/2</f>
        <v>500</v>
      </c>
      <c r="K49" s="13" t="s">
        <v>456</v>
      </c>
      <c r="L49" s="123">
        <f>+I49/2</f>
        <v>500</v>
      </c>
      <c r="M49" s="13" t="s">
        <v>456</v>
      </c>
      <c r="N49" s="13"/>
      <c r="O49" s="13"/>
    </row>
    <row r="50" spans="1:15" s="78" customFormat="1" ht="16.5" thickBot="1" x14ac:dyDescent="0.25">
      <c r="A50" s="203" t="s">
        <v>143</v>
      </c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5"/>
    </row>
    <row r="51" spans="1:15" ht="15.75" x14ac:dyDescent="0.25">
      <c r="A51" s="36">
        <v>1</v>
      </c>
      <c r="B51" s="162" t="s">
        <v>40</v>
      </c>
      <c r="C51" s="162" t="s">
        <v>574</v>
      </c>
      <c r="D51" s="162">
        <v>297873</v>
      </c>
      <c r="E51" s="162" t="s">
        <v>63</v>
      </c>
      <c r="F51" s="162" t="s">
        <v>575</v>
      </c>
      <c r="G51" s="37">
        <v>45901</v>
      </c>
      <c r="H51" s="161">
        <v>1000</v>
      </c>
      <c r="I51" s="38">
        <v>1000</v>
      </c>
      <c r="J51" s="38">
        <f t="shared" ref="J51:J58" si="1">+I51/2</f>
        <v>500</v>
      </c>
      <c r="K51" s="36" t="s">
        <v>282</v>
      </c>
      <c r="L51" s="38">
        <f>+I51/2</f>
        <v>500</v>
      </c>
      <c r="M51" s="36" t="s">
        <v>282</v>
      </c>
      <c r="N51" s="36"/>
      <c r="O51" s="36"/>
    </row>
    <row r="52" spans="1:15" ht="15.75" x14ac:dyDescent="0.25">
      <c r="A52" s="13">
        <v>2</v>
      </c>
      <c r="B52" s="13" t="s">
        <v>380</v>
      </c>
      <c r="C52" s="13" t="s">
        <v>507</v>
      </c>
      <c r="D52" s="13">
        <v>291680</v>
      </c>
      <c r="E52" s="46" t="s">
        <v>42</v>
      </c>
      <c r="F52" s="13" t="s">
        <v>508</v>
      </c>
      <c r="G52" s="14">
        <v>45909</v>
      </c>
      <c r="H52" s="153">
        <v>5450</v>
      </c>
      <c r="I52" s="15">
        <f>+H52</f>
        <v>5450</v>
      </c>
      <c r="J52" s="15">
        <f t="shared" si="1"/>
        <v>2725</v>
      </c>
      <c r="K52" s="13" t="s">
        <v>456</v>
      </c>
      <c r="L52" s="15">
        <f>+J52</f>
        <v>2725</v>
      </c>
      <c r="M52" s="13" t="s">
        <v>282</v>
      </c>
      <c r="N52" s="13"/>
      <c r="O52" s="48" t="s">
        <v>583</v>
      </c>
    </row>
    <row r="53" spans="1:15" ht="15.75" x14ac:dyDescent="0.25">
      <c r="A53" s="13">
        <v>3</v>
      </c>
      <c r="B53" s="18" t="s">
        <v>380</v>
      </c>
      <c r="C53" s="13" t="s">
        <v>463</v>
      </c>
      <c r="D53" s="13">
        <v>286418</v>
      </c>
      <c r="E53" s="13" t="s">
        <v>36</v>
      </c>
      <c r="F53" s="13" t="s">
        <v>198</v>
      </c>
      <c r="G53" s="14">
        <v>45916</v>
      </c>
      <c r="H53" s="153">
        <v>27000</v>
      </c>
      <c r="I53" s="15">
        <f>+H53*5%</f>
        <v>1350</v>
      </c>
      <c r="J53" s="15">
        <f t="shared" si="1"/>
        <v>675</v>
      </c>
      <c r="K53" s="13" t="s">
        <v>456</v>
      </c>
      <c r="L53" s="15">
        <f t="shared" ref="L53:L58" si="2">+I53/2</f>
        <v>675</v>
      </c>
      <c r="M53" s="13" t="s">
        <v>284</v>
      </c>
      <c r="N53" s="13"/>
      <c r="O53" s="48" t="s">
        <v>596</v>
      </c>
    </row>
    <row r="54" spans="1:15" ht="15.75" x14ac:dyDescent="0.25">
      <c r="A54" s="13">
        <v>4</v>
      </c>
      <c r="B54" s="18" t="s">
        <v>31</v>
      </c>
      <c r="C54" s="18" t="s">
        <v>487</v>
      </c>
      <c r="D54" s="18">
        <v>289112</v>
      </c>
      <c r="E54" s="18" t="s">
        <v>129</v>
      </c>
      <c r="F54" s="18" t="s">
        <v>488</v>
      </c>
      <c r="G54" s="14">
        <v>45916</v>
      </c>
      <c r="H54" s="153">
        <v>22000</v>
      </c>
      <c r="I54" s="15">
        <f>+H54*5%</f>
        <v>1100</v>
      </c>
      <c r="J54" s="15">
        <f t="shared" si="1"/>
        <v>550</v>
      </c>
      <c r="K54" s="13" t="s">
        <v>284</v>
      </c>
      <c r="L54" s="15">
        <f t="shared" si="2"/>
        <v>550</v>
      </c>
      <c r="M54" s="13" t="s">
        <v>456</v>
      </c>
      <c r="N54" s="85" t="s">
        <v>489</v>
      </c>
      <c r="O54" s="48" t="s">
        <v>595</v>
      </c>
    </row>
    <row r="55" spans="1:15" ht="15.75" x14ac:dyDescent="0.25">
      <c r="A55" s="13">
        <v>5</v>
      </c>
      <c r="B55" s="18" t="s">
        <v>16</v>
      </c>
      <c r="C55" s="18" t="s">
        <v>477</v>
      </c>
      <c r="D55" s="18">
        <v>288156</v>
      </c>
      <c r="E55" s="18" t="s">
        <v>17</v>
      </c>
      <c r="F55" s="18" t="s">
        <v>478</v>
      </c>
      <c r="G55" s="14">
        <v>45916</v>
      </c>
      <c r="H55" s="153">
        <v>17000</v>
      </c>
      <c r="I55" s="15">
        <v>1000</v>
      </c>
      <c r="J55" s="15">
        <f t="shared" si="1"/>
        <v>500</v>
      </c>
      <c r="K55" s="13" t="s">
        <v>283</v>
      </c>
      <c r="L55" s="15">
        <f t="shared" si="2"/>
        <v>500</v>
      </c>
      <c r="M55" s="13" t="s">
        <v>283</v>
      </c>
      <c r="N55" s="13"/>
      <c r="O55" s="13"/>
    </row>
    <row r="56" spans="1:15" ht="15.75" x14ac:dyDescent="0.25">
      <c r="A56" s="13">
        <v>6</v>
      </c>
      <c r="B56" s="13" t="s">
        <v>31</v>
      </c>
      <c r="C56" s="13" t="s">
        <v>578</v>
      </c>
      <c r="D56" s="13">
        <v>298637</v>
      </c>
      <c r="E56" s="13" t="s">
        <v>17</v>
      </c>
      <c r="F56" s="13" t="s">
        <v>45</v>
      </c>
      <c r="G56" s="14">
        <v>45923</v>
      </c>
      <c r="H56" s="153">
        <v>17000</v>
      </c>
      <c r="I56" s="15">
        <v>1000</v>
      </c>
      <c r="J56" s="15">
        <f t="shared" si="1"/>
        <v>500</v>
      </c>
      <c r="K56" s="13" t="s">
        <v>284</v>
      </c>
      <c r="L56" s="15">
        <f t="shared" si="2"/>
        <v>500</v>
      </c>
      <c r="M56" s="13"/>
      <c r="N56" s="13"/>
      <c r="O56" s="13"/>
    </row>
    <row r="57" spans="1:15" ht="15.75" x14ac:dyDescent="0.25">
      <c r="A57" s="13">
        <v>7</v>
      </c>
      <c r="B57" s="13" t="s">
        <v>122</v>
      </c>
      <c r="C57" s="13" t="s">
        <v>581</v>
      </c>
      <c r="D57" s="13">
        <v>298928</v>
      </c>
      <c r="E57" s="13" t="s">
        <v>17</v>
      </c>
      <c r="F57" s="13" t="s">
        <v>445</v>
      </c>
      <c r="G57" s="14">
        <v>45926</v>
      </c>
      <c r="H57" s="153">
        <v>32000</v>
      </c>
      <c r="I57" s="15">
        <f>+H57*5%</f>
        <v>1600</v>
      </c>
      <c r="J57" s="15">
        <f t="shared" si="1"/>
        <v>800</v>
      </c>
      <c r="K57" s="13" t="s">
        <v>122</v>
      </c>
      <c r="L57" s="15">
        <f t="shared" si="2"/>
        <v>800</v>
      </c>
      <c r="M57" s="13" t="s">
        <v>608</v>
      </c>
      <c r="N57" s="13"/>
      <c r="O57" s="13"/>
    </row>
    <row r="58" spans="1:15" ht="15.75" thickBot="1" x14ac:dyDescent="0.3">
      <c r="A58" s="13">
        <v>8</v>
      </c>
      <c r="B58" s="13" t="s">
        <v>31</v>
      </c>
      <c r="C58" s="13" t="s">
        <v>313</v>
      </c>
      <c r="D58" s="13">
        <v>265150</v>
      </c>
      <c r="E58" s="13" t="s">
        <v>17</v>
      </c>
      <c r="F58" s="13" t="s">
        <v>481</v>
      </c>
      <c r="G58" s="14">
        <v>45930</v>
      </c>
      <c r="H58" s="15">
        <v>22000</v>
      </c>
      <c r="I58" s="15">
        <f>+H58*5%</f>
        <v>1100</v>
      </c>
      <c r="J58" s="15">
        <f t="shared" si="1"/>
        <v>550</v>
      </c>
      <c r="K58" s="13" t="s">
        <v>284</v>
      </c>
      <c r="L58" s="15">
        <f t="shared" si="2"/>
        <v>550</v>
      </c>
      <c r="M58" s="13" t="s">
        <v>283</v>
      </c>
      <c r="N58" s="13"/>
      <c r="O58" s="13"/>
    </row>
    <row r="59" spans="1:15" ht="16.5" thickBot="1" x14ac:dyDescent="0.3">
      <c r="A59" s="203" t="s">
        <v>163</v>
      </c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5"/>
    </row>
    <row r="60" spans="1:15" s="5" customFormat="1" x14ac:dyDescent="0.25">
      <c r="A60" s="36">
        <v>1</v>
      </c>
      <c r="B60" s="162" t="s">
        <v>380</v>
      </c>
      <c r="C60" s="162" t="s">
        <v>597</v>
      </c>
      <c r="D60" s="162">
        <v>300544</v>
      </c>
      <c r="E60" s="162" t="s">
        <v>17</v>
      </c>
      <c r="F60" s="162" t="s">
        <v>598</v>
      </c>
      <c r="G60" s="37">
        <v>45931</v>
      </c>
      <c r="H60" s="38">
        <v>20000</v>
      </c>
      <c r="I60" s="38">
        <v>1000</v>
      </c>
      <c r="J60" s="38">
        <f t="shared" ref="J60:J65" si="3">+I60/2</f>
        <v>500</v>
      </c>
      <c r="K60" s="36" t="s">
        <v>456</v>
      </c>
      <c r="L60" s="38">
        <f>+I60/2</f>
        <v>500</v>
      </c>
      <c r="M60" s="36" t="s">
        <v>456</v>
      </c>
      <c r="N60" s="176" t="s">
        <v>599</v>
      </c>
      <c r="O60" s="36"/>
    </row>
    <row r="61" spans="1:15" s="5" customFormat="1" x14ac:dyDescent="0.25">
      <c r="A61" s="13">
        <v>2</v>
      </c>
      <c r="B61" s="18" t="s">
        <v>16</v>
      </c>
      <c r="C61" s="18" t="s">
        <v>333</v>
      </c>
      <c r="D61" s="18">
        <v>275027</v>
      </c>
      <c r="E61" s="18" t="s">
        <v>17</v>
      </c>
      <c r="F61" s="18" t="s">
        <v>334</v>
      </c>
      <c r="G61" s="14">
        <v>45936</v>
      </c>
      <c r="H61" s="15">
        <v>25500</v>
      </c>
      <c r="I61" s="15">
        <f>+H61*5%</f>
        <v>1275</v>
      </c>
      <c r="J61" s="15">
        <f t="shared" si="3"/>
        <v>637.5</v>
      </c>
      <c r="K61" s="13" t="s">
        <v>283</v>
      </c>
      <c r="L61" s="15">
        <f>+I61/2</f>
        <v>637.5</v>
      </c>
      <c r="M61" s="13" t="s">
        <v>613</v>
      </c>
      <c r="N61" s="13"/>
      <c r="O61" s="13"/>
    </row>
    <row r="62" spans="1:15" s="5" customFormat="1" x14ac:dyDescent="0.25">
      <c r="A62" s="13">
        <v>3</v>
      </c>
      <c r="B62" s="13" t="s">
        <v>380</v>
      </c>
      <c r="C62" s="13" t="s">
        <v>585</v>
      </c>
      <c r="D62" s="13">
        <v>299688</v>
      </c>
      <c r="E62" s="13" t="s">
        <v>17</v>
      </c>
      <c r="F62" s="13" t="s">
        <v>481</v>
      </c>
      <c r="G62" s="14">
        <v>45940</v>
      </c>
      <c r="H62" s="15">
        <v>24000</v>
      </c>
      <c r="I62" s="15">
        <f>+H62*5%</f>
        <v>1200</v>
      </c>
      <c r="J62" s="15">
        <f t="shared" si="3"/>
        <v>600</v>
      </c>
      <c r="K62" s="13" t="s">
        <v>456</v>
      </c>
      <c r="L62" s="15">
        <f>+I62/2</f>
        <v>600</v>
      </c>
      <c r="M62" s="13" t="s">
        <v>284</v>
      </c>
      <c r="N62" s="13"/>
      <c r="O62" s="13"/>
    </row>
    <row r="63" spans="1:15" s="5" customFormat="1" x14ac:dyDescent="0.25">
      <c r="A63" s="13">
        <v>4</v>
      </c>
      <c r="B63" s="13" t="s">
        <v>122</v>
      </c>
      <c r="C63" s="13" t="s">
        <v>582</v>
      </c>
      <c r="D63" s="13">
        <v>298940</v>
      </c>
      <c r="E63" s="13" t="s">
        <v>36</v>
      </c>
      <c r="F63" s="13" t="s">
        <v>413</v>
      </c>
      <c r="G63" s="14">
        <v>45947</v>
      </c>
      <c r="H63" s="15">
        <v>21000</v>
      </c>
      <c r="I63" s="15">
        <f>+H63*5%</f>
        <v>1050</v>
      </c>
      <c r="J63" s="15">
        <f t="shared" si="3"/>
        <v>525</v>
      </c>
      <c r="K63" s="13" t="s">
        <v>122</v>
      </c>
      <c r="L63" s="15">
        <f>+J63</f>
        <v>525</v>
      </c>
      <c r="M63" s="13" t="s">
        <v>436</v>
      </c>
      <c r="N63" s="13"/>
      <c r="O63" s="13"/>
    </row>
    <row r="64" spans="1:15" s="5" customFormat="1" x14ac:dyDescent="0.2">
      <c r="A64" s="13">
        <v>5</v>
      </c>
      <c r="B64" s="13" t="s">
        <v>122</v>
      </c>
      <c r="C64" s="13" t="s">
        <v>353</v>
      </c>
      <c r="D64" s="13">
        <v>276630</v>
      </c>
      <c r="E64" s="13" t="s">
        <v>82</v>
      </c>
      <c r="F64" s="177" t="s">
        <v>631</v>
      </c>
      <c r="G64" s="14">
        <v>45945</v>
      </c>
      <c r="H64" s="15">
        <v>9563</v>
      </c>
      <c r="I64" s="15">
        <f>+H64</f>
        <v>9563</v>
      </c>
      <c r="J64" s="15">
        <f t="shared" si="3"/>
        <v>4781.5</v>
      </c>
      <c r="K64" s="13" t="s">
        <v>122</v>
      </c>
      <c r="L64" s="15">
        <f>+J64</f>
        <v>4781.5</v>
      </c>
      <c r="M64" s="13" t="s">
        <v>633</v>
      </c>
      <c r="N64" s="48" t="s">
        <v>632</v>
      </c>
      <c r="O64" s="13"/>
    </row>
    <row r="65" spans="1:15" s="5" customFormat="1" ht="15.75" thickBot="1" x14ac:dyDescent="0.3">
      <c r="A65" s="13">
        <v>6</v>
      </c>
      <c r="B65" s="13" t="s">
        <v>472</v>
      </c>
      <c r="C65" s="13" t="s">
        <v>225</v>
      </c>
      <c r="D65" s="13">
        <v>268294</v>
      </c>
      <c r="E65" s="13" t="s">
        <v>17</v>
      </c>
      <c r="F65" s="13" t="s">
        <v>217</v>
      </c>
      <c r="G65" s="14">
        <v>45954</v>
      </c>
      <c r="H65" s="15">
        <v>23000</v>
      </c>
      <c r="I65" s="15">
        <f>+H65*5%</f>
        <v>1150</v>
      </c>
      <c r="J65" s="15">
        <f t="shared" si="3"/>
        <v>575</v>
      </c>
      <c r="K65" s="13" t="s">
        <v>282</v>
      </c>
      <c r="L65" s="15">
        <f>+I65/2</f>
        <v>575</v>
      </c>
      <c r="M65" s="13" t="s">
        <v>634</v>
      </c>
      <c r="N65" s="13"/>
      <c r="O65" s="48" t="s">
        <v>616</v>
      </c>
    </row>
    <row r="66" spans="1:15" s="5" customFormat="1" ht="16.5" thickBot="1" x14ac:dyDescent="0.3">
      <c r="A66" s="203" t="s">
        <v>176</v>
      </c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5"/>
    </row>
    <row r="67" spans="1:15" s="5" customFormat="1" x14ac:dyDescent="0.25">
      <c r="A67" s="13">
        <v>1</v>
      </c>
      <c r="B67" s="18" t="s">
        <v>16</v>
      </c>
      <c r="C67" s="18" t="s">
        <v>578</v>
      </c>
      <c r="D67" s="18">
        <v>300692</v>
      </c>
      <c r="E67" s="18" t="s">
        <v>17</v>
      </c>
      <c r="F67" s="18" t="s">
        <v>43</v>
      </c>
      <c r="G67" s="14">
        <v>45964</v>
      </c>
      <c r="H67" s="15">
        <v>18000</v>
      </c>
      <c r="I67" s="15">
        <v>1000</v>
      </c>
      <c r="J67" s="15">
        <f>+I67/2</f>
        <v>500</v>
      </c>
      <c r="K67" s="13" t="s">
        <v>283</v>
      </c>
      <c r="L67" s="15">
        <f>+I67/2</f>
        <v>500</v>
      </c>
      <c r="M67" s="13" t="s">
        <v>679</v>
      </c>
      <c r="N67" s="13"/>
      <c r="O67" s="48" t="s">
        <v>678</v>
      </c>
    </row>
    <row r="68" spans="1:15" s="5" customFormat="1" x14ac:dyDescent="0.25">
      <c r="A68" s="13">
        <v>2</v>
      </c>
      <c r="B68" s="13" t="s">
        <v>31</v>
      </c>
      <c r="C68" s="13" t="s">
        <v>339</v>
      </c>
      <c r="D68" s="13" t="s">
        <v>339</v>
      </c>
      <c r="E68" s="13" t="s">
        <v>17</v>
      </c>
      <c r="F68" s="13" t="s">
        <v>657</v>
      </c>
      <c r="G68" s="14">
        <v>45965</v>
      </c>
      <c r="H68" s="15">
        <v>21000</v>
      </c>
      <c r="I68" s="15">
        <f>+H68*5%</f>
        <v>1050</v>
      </c>
      <c r="J68" s="15">
        <f>+I68/2</f>
        <v>525</v>
      </c>
      <c r="K68" s="13" t="s">
        <v>680</v>
      </c>
      <c r="L68" s="15">
        <f>+I68/2</f>
        <v>525</v>
      </c>
      <c r="M68" s="13" t="s">
        <v>284</v>
      </c>
      <c r="N68" s="13"/>
      <c r="O68" s="48" t="s">
        <v>615</v>
      </c>
    </row>
    <row r="69" spans="1:15" s="5" customFormat="1" x14ac:dyDescent="0.25">
      <c r="A69" s="13">
        <v>3</v>
      </c>
      <c r="B69" s="13" t="s">
        <v>380</v>
      </c>
      <c r="C69" s="13" t="s">
        <v>339</v>
      </c>
      <c r="D69" s="13" t="s">
        <v>339</v>
      </c>
      <c r="E69" s="13" t="s">
        <v>36</v>
      </c>
      <c r="F69" s="13" t="s">
        <v>630</v>
      </c>
      <c r="G69" s="14">
        <v>45974</v>
      </c>
      <c r="H69" s="15">
        <v>21500</v>
      </c>
      <c r="I69" s="15">
        <f>+H69*5%</f>
        <v>1075</v>
      </c>
      <c r="J69" s="15">
        <f>+I69/2</f>
        <v>537.5</v>
      </c>
      <c r="K69" s="13" t="s">
        <v>681</v>
      </c>
      <c r="L69" s="15">
        <f>+I69/2</f>
        <v>537.5</v>
      </c>
      <c r="M69" s="13" t="s">
        <v>456</v>
      </c>
      <c r="N69" s="13"/>
      <c r="O69" s="48" t="s">
        <v>658</v>
      </c>
    </row>
    <row r="70" spans="1:15" s="5" customFormat="1" ht="15.75" thickBot="1" x14ac:dyDescent="0.3">
      <c r="A70" s="13">
        <v>4</v>
      </c>
      <c r="B70" s="13" t="s">
        <v>16</v>
      </c>
      <c r="C70" s="13" t="s">
        <v>152</v>
      </c>
      <c r="D70" s="184">
        <v>295555</v>
      </c>
      <c r="E70" s="13" t="s">
        <v>33</v>
      </c>
      <c r="F70" s="13" t="s">
        <v>153</v>
      </c>
      <c r="G70" s="14">
        <v>45985</v>
      </c>
      <c r="H70" s="15">
        <v>25000</v>
      </c>
      <c r="I70" s="15">
        <f>+H70*5%</f>
        <v>1250</v>
      </c>
      <c r="J70" s="15">
        <f>+I70/2</f>
        <v>625</v>
      </c>
      <c r="K70" s="13" t="s">
        <v>283</v>
      </c>
      <c r="L70" s="15">
        <f>+I70/2</f>
        <v>625</v>
      </c>
      <c r="M70" s="13" t="s">
        <v>682</v>
      </c>
      <c r="N70" s="13"/>
      <c r="O70" s="48" t="s">
        <v>677</v>
      </c>
    </row>
    <row r="71" spans="1:15" s="5" customFormat="1" ht="16.5" thickBot="1" x14ac:dyDescent="0.3">
      <c r="A71" s="203" t="s">
        <v>191</v>
      </c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5"/>
    </row>
    <row r="72" spans="1:15" s="5" customFormat="1" x14ac:dyDescent="0.25">
      <c r="A72" s="13">
        <v>1</v>
      </c>
      <c r="B72" s="13" t="s">
        <v>40</v>
      </c>
      <c r="C72" s="13" t="s">
        <v>339</v>
      </c>
      <c r="D72" s="13" t="s">
        <v>339</v>
      </c>
      <c r="E72" s="13" t="s">
        <v>36</v>
      </c>
      <c r="F72" s="13" t="s">
        <v>659</v>
      </c>
      <c r="G72" s="14">
        <v>45992</v>
      </c>
      <c r="H72" s="15">
        <v>31500</v>
      </c>
      <c r="I72" s="15">
        <f>+H72*5%</f>
        <v>1575</v>
      </c>
      <c r="J72" s="15">
        <f>+I72/2</f>
        <v>787.5</v>
      </c>
      <c r="K72" s="13" t="s">
        <v>689</v>
      </c>
      <c r="L72" s="15">
        <f>+I72/2</f>
        <v>787.5</v>
      </c>
      <c r="M72" s="13" t="s">
        <v>282</v>
      </c>
      <c r="N72" s="13"/>
      <c r="O72" s="48" t="s">
        <v>690</v>
      </c>
    </row>
    <row r="73" spans="1:15" s="5" customFormat="1" x14ac:dyDescent="0.25">
      <c r="A73" s="13">
        <v>2</v>
      </c>
      <c r="B73" s="13" t="s">
        <v>16</v>
      </c>
      <c r="C73" s="13" t="s">
        <v>594</v>
      </c>
      <c r="D73" s="13">
        <v>300310</v>
      </c>
      <c r="E73" s="13" t="s">
        <v>17</v>
      </c>
      <c r="F73" s="13" t="s">
        <v>593</v>
      </c>
      <c r="G73" s="14">
        <v>45995</v>
      </c>
      <c r="H73" s="15">
        <v>17500</v>
      </c>
      <c r="I73" s="15">
        <v>1000</v>
      </c>
      <c r="J73" s="15">
        <f>+I73/2</f>
        <v>500</v>
      </c>
      <c r="K73" s="13" t="s">
        <v>283</v>
      </c>
      <c r="L73" s="15">
        <f>+I73/2</f>
        <v>500</v>
      </c>
      <c r="M73" s="13" t="s">
        <v>691</v>
      </c>
      <c r="N73" s="13"/>
      <c r="O73" s="48" t="s">
        <v>617</v>
      </c>
    </row>
    <row r="74" spans="1:15" s="5" customFormat="1" x14ac:dyDescent="0.25">
      <c r="A74" s="13">
        <v>3</v>
      </c>
      <c r="B74" s="13" t="s">
        <v>40</v>
      </c>
      <c r="C74" s="13" t="s">
        <v>687</v>
      </c>
      <c r="D74" s="13">
        <v>310280</v>
      </c>
      <c r="E74" s="13" t="s">
        <v>63</v>
      </c>
      <c r="F74" s="13" t="s">
        <v>404</v>
      </c>
      <c r="G74" s="14">
        <v>46003</v>
      </c>
      <c r="H74" s="15">
        <v>600</v>
      </c>
      <c r="I74" s="15">
        <v>1200</v>
      </c>
      <c r="J74" s="15">
        <f>+I74/2</f>
        <v>600</v>
      </c>
      <c r="K74" s="13" t="s">
        <v>282</v>
      </c>
      <c r="L74" s="15">
        <f>+I74/2</f>
        <v>600</v>
      </c>
      <c r="M74" s="13" t="s">
        <v>282</v>
      </c>
      <c r="N74" s="13"/>
      <c r="O74" s="13"/>
    </row>
    <row r="75" spans="1:15" s="5" customFormat="1" x14ac:dyDescent="0.25">
      <c r="A75" s="13">
        <v>4</v>
      </c>
      <c r="B75" s="13" t="s">
        <v>40</v>
      </c>
      <c r="C75" s="13" t="s">
        <v>178</v>
      </c>
      <c r="D75" s="13">
        <v>259811</v>
      </c>
      <c r="E75" s="13" t="s">
        <v>17</v>
      </c>
      <c r="F75" s="13" t="s">
        <v>179</v>
      </c>
      <c r="G75" s="14">
        <v>46013</v>
      </c>
      <c r="H75" s="15">
        <v>25000</v>
      </c>
      <c r="I75" s="15">
        <f>+H75*5%</f>
        <v>1250</v>
      </c>
      <c r="J75" s="15">
        <f>+I75/2</f>
        <v>625</v>
      </c>
      <c r="K75" s="13" t="s">
        <v>282</v>
      </c>
      <c r="L75" s="15">
        <f>+I75/2</f>
        <v>625</v>
      </c>
      <c r="M75" s="13" t="s">
        <v>282</v>
      </c>
      <c r="N75" s="13"/>
      <c r="O75" s="13"/>
    </row>
    <row r="76" spans="1:15" s="5" customFormat="1" ht="15.75" thickBot="1" x14ac:dyDescent="0.3">
      <c r="A76" s="13">
        <v>5</v>
      </c>
      <c r="B76" s="13" t="s">
        <v>40</v>
      </c>
      <c r="C76" s="13" t="s">
        <v>339</v>
      </c>
      <c r="D76" s="13" t="s">
        <v>339</v>
      </c>
      <c r="E76" s="13" t="s">
        <v>17</v>
      </c>
      <c r="F76" s="13" t="s">
        <v>693</v>
      </c>
      <c r="G76" s="14">
        <v>46013</v>
      </c>
      <c r="H76" s="15">
        <v>22000</v>
      </c>
      <c r="I76" s="15">
        <f>+H76*5%</f>
        <v>1100</v>
      </c>
      <c r="J76" s="15">
        <f>+I76/2</f>
        <v>550</v>
      </c>
      <c r="K76" s="13"/>
      <c r="L76" s="15">
        <f>+I76/2</f>
        <v>550</v>
      </c>
      <c r="M76" s="13" t="s">
        <v>282</v>
      </c>
      <c r="N76" s="13"/>
      <c r="O76" s="13"/>
    </row>
    <row r="77" spans="1:15" s="5" customFormat="1" ht="16.5" thickBot="1" x14ac:dyDescent="0.3">
      <c r="A77" s="203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5"/>
    </row>
    <row r="78" spans="1:15" s="5" customFormat="1" x14ac:dyDescent="0.25">
      <c r="H78" s="175"/>
      <c r="I78" s="175"/>
      <c r="J78" s="175"/>
      <c r="L78" s="175"/>
    </row>
    <row r="79" spans="1:15" s="5" customFormat="1" x14ac:dyDescent="0.25">
      <c r="H79" s="175"/>
      <c r="I79" s="175"/>
      <c r="J79" s="175"/>
      <c r="L79" s="175"/>
    </row>
    <row r="80" spans="1:15" s="5" customFormat="1" x14ac:dyDescent="0.25">
      <c r="H80" s="175"/>
      <c r="I80" s="175"/>
      <c r="J80" s="175"/>
      <c r="L80" s="175"/>
    </row>
    <row r="81" spans="8:12" s="5" customFormat="1" x14ac:dyDescent="0.25">
      <c r="H81" s="175"/>
      <c r="I81" s="175"/>
      <c r="J81" s="175"/>
      <c r="L81" s="175"/>
    </row>
    <row r="82" spans="8:12" s="5" customFormat="1" x14ac:dyDescent="0.25">
      <c r="H82" s="175"/>
      <c r="I82" s="175"/>
      <c r="J82" s="175"/>
      <c r="L82" s="175"/>
    </row>
    <row r="83" spans="8:12" s="5" customFormat="1" x14ac:dyDescent="0.25">
      <c r="H83" s="175"/>
      <c r="I83" s="175"/>
      <c r="J83" s="175"/>
      <c r="L83" s="175"/>
    </row>
    <row r="84" spans="8:12" s="5" customFormat="1" x14ac:dyDescent="0.25">
      <c r="H84" s="175"/>
      <c r="I84" s="175"/>
      <c r="J84" s="175"/>
      <c r="L84" s="175"/>
    </row>
    <row r="85" spans="8:12" s="5" customFormat="1" x14ac:dyDescent="0.25">
      <c r="H85" s="175"/>
      <c r="I85" s="175"/>
      <c r="J85" s="175"/>
      <c r="L85" s="175"/>
    </row>
    <row r="86" spans="8:12" s="5" customFormat="1" x14ac:dyDescent="0.25">
      <c r="H86" s="175"/>
      <c r="I86" s="175"/>
      <c r="J86" s="175"/>
      <c r="L86" s="175"/>
    </row>
    <row r="87" spans="8:12" s="5" customFormat="1" x14ac:dyDescent="0.25">
      <c r="H87" s="175"/>
      <c r="I87" s="175"/>
      <c r="J87" s="175"/>
      <c r="L87" s="175"/>
    </row>
    <row r="88" spans="8:12" s="5" customFormat="1" x14ac:dyDescent="0.25">
      <c r="H88" s="175"/>
      <c r="I88" s="175"/>
      <c r="J88" s="175"/>
      <c r="L88" s="175"/>
    </row>
    <row r="89" spans="8:12" s="5" customFormat="1" x14ac:dyDescent="0.25">
      <c r="H89" s="175"/>
      <c r="I89" s="175"/>
      <c r="J89" s="175"/>
      <c r="L89" s="175"/>
    </row>
    <row r="90" spans="8:12" s="5" customFormat="1" x14ac:dyDescent="0.25">
      <c r="H90" s="175"/>
      <c r="I90" s="175"/>
      <c r="J90" s="175"/>
      <c r="L90" s="175"/>
    </row>
    <row r="91" spans="8:12" s="5" customFormat="1" x14ac:dyDescent="0.25">
      <c r="H91" s="175"/>
      <c r="I91" s="175"/>
      <c r="J91" s="175"/>
      <c r="L91" s="175"/>
    </row>
    <row r="92" spans="8:12" s="5" customFormat="1" x14ac:dyDescent="0.25">
      <c r="H92" s="175"/>
      <c r="I92" s="175"/>
      <c r="J92" s="175"/>
      <c r="L92" s="175"/>
    </row>
    <row r="93" spans="8:12" s="5" customFormat="1" x14ac:dyDescent="0.25">
      <c r="H93" s="175"/>
      <c r="I93" s="175"/>
      <c r="J93" s="175"/>
      <c r="L93" s="175"/>
    </row>
    <row r="94" spans="8:12" s="5" customFormat="1" x14ac:dyDescent="0.25">
      <c r="H94" s="175"/>
      <c r="I94" s="175"/>
      <c r="J94" s="175"/>
      <c r="L94" s="175"/>
    </row>
    <row r="95" spans="8:12" s="5" customFormat="1" x14ac:dyDescent="0.25">
      <c r="H95" s="175"/>
      <c r="I95" s="175"/>
      <c r="J95" s="175"/>
      <c r="L95" s="175"/>
    </row>
    <row r="96" spans="8:12" s="5" customFormat="1" x14ac:dyDescent="0.25">
      <c r="H96" s="175"/>
      <c r="I96" s="175"/>
      <c r="J96" s="175"/>
      <c r="L96" s="175"/>
    </row>
    <row r="97" spans="8:12" s="5" customFormat="1" x14ac:dyDescent="0.25">
      <c r="H97" s="175"/>
      <c r="I97" s="175"/>
      <c r="J97" s="175"/>
      <c r="L97" s="175"/>
    </row>
    <row r="98" spans="8:12" s="5" customFormat="1" x14ac:dyDescent="0.25">
      <c r="H98" s="175"/>
      <c r="I98" s="175"/>
      <c r="J98" s="175"/>
      <c r="L98" s="175"/>
    </row>
    <row r="99" spans="8:12" s="5" customFormat="1" x14ac:dyDescent="0.25">
      <c r="H99" s="175"/>
      <c r="I99" s="175"/>
      <c r="J99" s="175"/>
      <c r="L99" s="175"/>
    </row>
    <row r="100" spans="8:12" s="5" customFormat="1" x14ac:dyDescent="0.25">
      <c r="H100" s="175"/>
      <c r="I100" s="175"/>
      <c r="J100" s="175"/>
      <c r="L100" s="175"/>
    </row>
    <row r="101" spans="8:12" x14ac:dyDescent="0.25">
      <c r="H101" s="155"/>
      <c r="I101" s="155"/>
      <c r="J101" s="155"/>
    </row>
    <row r="102" spans="8:12" x14ac:dyDescent="0.25">
      <c r="H102" s="155"/>
      <c r="I102" s="155"/>
      <c r="J102" s="155"/>
    </row>
    <row r="103" spans="8:12" x14ac:dyDescent="0.25">
      <c r="H103" s="155"/>
      <c r="I103" s="155"/>
      <c r="J103" s="155"/>
    </row>
    <row r="104" spans="8:12" x14ac:dyDescent="0.25">
      <c r="H104" s="155"/>
      <c r="I104" s="155"/>
      <c r="J104" s="155"/>
    </row>
    <row r="105" spans="8:12" x14ac:dyDescent="0.25">
      <c r="H105" s="155"/>
      <c r="I105" s="155"/>
      <c r="J105" s="155"/>
    </row>
    <row r="106" spans="8:12" x14ac:dyDescent="0.25">
      <c r="H106" s="155"/>
      <c r="I106" s="155"/>
      <c r="J106" s="155"/>
    </row>
  </sheetData>
  <mergeCells count="14">
    <mergeCell ref="A77:O77"/>
    <mergeCell ref="A71:O71"/>
    <mergeCell ref="A66:O66"/>
    <mergeCell ref="A59:O59"/>
    <mergeCell ref="A50:O50"/>
    <mergeCell ref="A44:O44"/>
    <mergeCell ref="A37:O37"/>
    <mergeCell ref="A31:O31"/>
    <mergeCell ref="A23:O23"/>
    <mergeCell ref="A3:N3"/>
    <mergeCell ref="A7:O7"/>
    <mergeCell ref="A10:O10"/>
    <mergeCell ref="A14:O14"/>
    <mergeCell ref="A19:O19"/>
  </mergeCells>
  <pageMargins left="0.7" right="0.7" top="0.75" bottom="0.75" header="0.3" footer="0.3"/>
  <pageSetup orientation="portrait" verticalDpi="360" r:id="rId1"/>
  <ignoredErrors>
    <ignoredError sqref="L52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3CC2-4B32-4399-A259-10A73DF8A2FA}">
  <sheetPr>
    <tabColor rgb="FFC0FAD7"/>
  </sheetPr>
  <dimension ref="A2:G84"/>
  <sheetViews>
    <sheetView tabSelected="1" topLeftCell="A64" workbookViewId="0">
      <selection activeCell="A30" sqref="A30:XFD30"/>
    </sheetView>
  </sheetViews>
  <sheetFormatPr baseColWidth="10" defaultRowHeight="15" x14ac:dyDescent="0.25"/>
  <cols>
    <col min="1" max="1" width="12.7109375" customWidth="1"/>
    <col min="2" max="2" width="12.7109375" bestFit="1" customWidth="1"/>
    <col min="3" max="3" width="19.42578125" customWidth="1"/>
    <col min="4" max="4" width="7.7109375" bestFit="1" customWidth="1"/>
    <col min="5" max="5" width="12.7109375" customWidth="1"/>
    <col min="6" max="6" width="9.5703125" customWidth="1"/>
    <col min="7" max="7" width="15.28515625" customWidth="1"/>
  </cols>
  <sheetData>
    <row r="2" spans="1:7" x14ac:dyDescent="0.25">
      <c r="A2" s="67"/>
      <c r="B2" s="67"/>
      <c r="C2" s="67"/>
      <c r="D2" s="67"/>
    </row>
    <row r="3" spans="1:7" x14ac:dyDescent="0.25">
      <c r="A3" s="67"/>
      <c r="B3" s="67"/>
      <c r="C3" s="67"/>
      <c r="D3" s="67"/>
    </row>
    <row r="4" spans="1:7" x14ac:dyDescent="0.25">
      <c r="A4" s="67"/>
      <c r="B4" s="67"/>
      <c r="C4" s="67"/>
      <c r="D4" s="67"/>
    </row>
    <row r="5" spans="1:7" x14ac:dyDescent="0.25">
      <c r="A5" s="67"/>
      <c r="B5" s="67"/>
      <c r="C5" s="67"/>
      <c r="D5" s="67"/>
    </row>
    <row r="6" spans="1:7" x14ac:dyDescent="0.25">
      <c r="A6" s="67"/>
      <c r="B6" s="67"/>
      <c r="C6" s="67"/>
      <c r="D6" s="67"/>
    </row>
    <row r="7" spans="1:7" x14ac:dyDescent="0.25">
      <c r="A7" s="67"/>
      <c r="B7" s="67"/>
      <c r="C7" s="67"/>
      <c r="D7" s="67"/>
    </row>
    <row r="8" spans="1:7" ht="18.75" x14ac:dyDescent="0.25">
      <c r="A8" s="208" t="s">
        <v>267</v>
      </c>
      <c r="B8" s="208"/>
      <c r="C8" s="208"/>
      <c r="E8" s="208" t="s">
        <v>268</v>
      </c>
      <c r="F8" s="208"/>
      <c r="G8" s="208"/>
    </row>
    <row r="9" spans="1:7" ht="31.5" x14ac:dyDescent="0.25">
      <c r="A9" s="108" t="s">
        <v>269</v>
      </c>
      <c r="B9" s="109" t="s">
        <v>270</v>
      </c>
      <c r="C9" s="108" t="s">
        <v>271</v>
      </c>
      <c r="E9" s="108" t="s">
        <v>269</v>
      </c>
      <c r="F9" s="108" t="s">
        <v>272</v>
      </c>
      <c r="G9" s="108" t="s">
        <v>273</v>
      </c>
    </row>
    <row r="10" spans="1:7" ht="15" customHeight="1" x14ac:dyDescent="0.25">
      <c r="A10" s="210" t="s">
        <v>274</v>
      </c>
      <c r="B10" s="55">
        <v>4</v>
      </c>
      <c r="C10" s="113" t="s">
        <v>31</v>
      </c>
      <c r="E10" s="210" t="s">
        <v>274</v>
      </c>
      <c r="F10" s="216">
        <v>1</v>
      </c>
      <c r="G10" s="216" t="s">
        <v>276</v>
      </c>
    </row>
    <row r="11" spans="1:7" ht="15" customHeight="1" x14ac:dyDescent="0.25">
      <c r="A11" s="211"/>
      <c r="B11" s="55">
        <v>1</v>
      </c>
      <c r="C11" s="113" t="s">
        <v>276</v>
      </c>
      <c r="E11" s="211"/>
      <c r="F11" s="217"/>
      <c r="G11" s="217"/>
    </row>
    <row r="12" spans="1:7" ht="15" customHeight="1" x14ac:dyDescent="0.25">
      <c r="A12" s="212"/>
      <c r="B12" s="55">
        <v>1</v>
      </c>
      <c r="C12" s="113" t="s">
        <v>40</v>
      </c>
      <c r="E12" s="212"/>
      <c r="F12" s="218"/>
      <c r="G12" s="218"/>
    </row>
    <row r="14" spans="1:7" ht="18.75" x14ac:dyDescent="0.25">
      <c r="A14" s="208" t="s">
        <v>267</v>
      </c>
      <c r="B14" s="208"/>
      <c r="C14" s="208"/>
      <c r="E14" s="208" t="s">
        <v>268</v>
      </c>
      <c r="F14" s="208"/>
      <c r="G14" s="208"/>
    </row>
    <row r="15" spans="1:7" ht="31.5" x14ac:dyDescent="0.25">
      <c r="A15" s="108" t="s">
        <v>269</v>
      </c>
      <c r="B15" s="109" t="s">
        <v>270</v>
      </c>
      <c r="C15" s="108" t="s">
        <v>271</v>
      </c>
      <c r="E15" s="108" t="s">
        <v>269</v>
      </c>
      <c r="F15" s="108" t="s">
        <v>272</v>
      </c>
      <c r="G15" s="108" t="s">
        <v>273</v>
      </c>
    </row>
    <row r="16" spans="1:7" ht="15" customHeight="1" x14ac:dyDescent="0.25">
      <c r="A16" s="112" t="s">
        <v>275</v>
      </c>
      <c r="B16" s="55">
        <v>9</v>
      </c>
      <c r="C16" s="50" t="s">
        <v>16</v>
      </c>
      <c r="E16" s="219" t="s">
        <v>275</v>
      </c>
      <c r="F16" s="55">
        <v>1</v>
      </c>
      <c r="G16" s="110" t="s">
        <v>31</v>
      </c>
    </row>
    <row r="17" spans="1:7" ht="15" customHeight="1" x14ac:dyDescent="0.25">
      <c r="A17" s="112"/>
      <c r="B17" s="55">
        <v>1</v>
      </c>
      <c r="C17" s="50" t="s">
        <v>40</v>
      </c>
      <c r="E17" s="220"/>
      <c r="F17" s="55">
        <v>1</v>
      </c>
      <c r="G17" s="110" t="s">
        <v>276</v>
      </c>
    </row>
    <row r="18" spans="1:7" ht="15" customHeight="1" x14ac:dyDescent="0.25">
      <c r="E18" s="220"/>
      <c r="F18" s="111">
        <v>1</v>
      </c>
      <c r="G18" s="50" t="s">
        <v>122</v>
      </c>
    </row>
    <row r="20" spans="1:7" ht="18.75" x14ac:dyDescent="0.25">
      <c r="A20" s="208" t="s">
        <v>267</v>
      </c>
      <c r="B20" s="208"/>
      <c r="C20" s="208"/>
      <c r="E20" s="209" t="s">
        <v>268</v>
      </c>
      <c r="F20" s="209"/>
      <c r="G20" s="209"/>
    </row>
    <row r="21" spans="1:7" ht="31.5" x14ac:dyDescent="0.25">
      <c r="A21" s="108" t="s">
        <v>269</v>
      </c>
      <c r="B21" s="109" t="s">
        <v>270</v>
      </c>
      <c r="C21" s="108" t="s">
        <v>271</v>
      </c>
      <c r="E21" s="108" t="s">
        <v>269</v>
      </c>
      <c r="F21" s="108" t="s">
        <v>272</v>
      </c>
      <c r="G21" s="108" t="s">
        <v>273</v>
      </c>
    </row>
    <row r="22" spans="1:7" ht="15" customHeight="1" x14ac:dyDescent="0.25">
      <c r="A22" s="210" t="s">
        <v>367</v>
      </c>
      <c r="B22" s="55">
        <v>8</v>
      </c>
      <c r="C22" s="113" t="s">
        <v>16</v>
      </c>
      <c r="E22" s="213" t="s">
        <v>367</v>
      </c>
      <c r="F22" s="55">
        <v>4</v>
      </c>
      <c r="G22" s="110" t="s">
        <v>40</v>
      </c>
    </row>
    <row r="23" spans="1:7" ht="15" customHeight="1" x14ac:dyDescent="0.25">
      <c r="A23" s="211"/>
      <c r="B23" s="55">
        <v>7</v>
      </c>
      <c r="C23" s="113" t="s">
        <v>40</v>
      </c>
      <c r="E23" s="213"/>
      <c r="F23" s="55">
        <v>1</v>
      </c>
      <c r="G23" s="110" t="s">
        <v>368</v>
      </c>
    </row>
    <row r="24" spans="1:7" ht="15" customHeight="1" x14ac:dyDescent="0.25">
      <c r="A24" s="212"/>
      <c r="B24" s="55">
        <v>4</v>
      </c>
      <c r="C24" s="113" t="s">
        <v>31</v>
      </c>
    </row>
    <row r="26" spans="1:7" ht="18.75" x14ac:dyDescent="0.25">
      <c r="A26" s="208" t="s">
        <v>267</v>
      </c>
      <c r="B26" s="208"/>
      <c r="C26" s="208"/>
      <c r="E26" s="209" t="s">
        <v>268</v>
      </c>
      <c r="F26" s="209"/>
      <c r="G26" s="209"/>
    </row>
    <row r="27" spans="1:7" ht="31.5" x14ac:dyDescent="0.25">
      <c r="A27" s="108" t="s">
        <v>269</v>
      </c>
      <c r="B27" s="109" t="s">
        <v>270</v>
      </c>
      <c r="C27" s="108" t="s">
        <v>271</v>
      </c>
      <c r="E27" s="108" t="s">
        <v>269</v>
      </c>
      <c r="F27" s="108" t="s">
        <v>272</v>
      </c>
      <c r="G27" s="108" t="s">
        <v>273</v>
      </c>
    </row>
    <row r="28" spans="1:7" ht="15" customHeight="1" x14ac:dyDescent="0.25">
      <c r="A28" s="210" t="s">
        <v>407</v>
      </c>
      <c r="B28" s="55">
        <v>4</v>
      </c>
      <c r="C28" s="113" t="s">
        <v>380</v>
      </c>
      <c r="E28" s="213" t="s">
        <v>407</v>
      </c>
      <c r="F28" s="55">
        <v>2</v>
      </c>
      <c r="G28" s="110" t="s">
        <v>40</v>
      </c>
    </row>
    <row r="29" spans="1:7" ht="15" customHeight="1" x14ac:dyDescent="0.25">
      <c r="A29" s="211"/>
      <c r="B29" s="55">
        <v>4</v>
      </c>
      <c r="C29" s="113" t="s">
        <v>16</v>
      </c>
      <c r="E29" s="213"/>
      <c r="F29" s="55">
        <v>2</v>
      </c>
      <c r="G29" s="110" t="s">
        <v>31</v>
      </c>
    </row>
    <row r="31" spans="1:7" ht="18.75" x14ac:dyDescent="0.25">
      <c r="A31" s="208" t="s">
        <v>267</v>
      </c>
      <c r="B31" s="208"/>
      <c r="C31" s="208"/>
      <c r="E31" s="209" t="s">
        <v>268</v>
      </c>
      <c r="F31" s="209"/>
      <c r="G31" s="209"/>
    </row>
    <row r="32" spans="1:7" ht="31.5" x14ac:dyDescent="0.25">
      <c r="A32" s="108" t="s">
        <v>269</v>
      </c>
      <c r="B32" s="109" t="s">
        <v>270</v>
      </c>
      <c r="C32" s="108" t="s">
        <v>271</v>
      </c>
      <c r="E32" s="108" t="s">
        <v>269</v>
      </c>
      <c r="F32" s="108" t="s">
        <v>272</v>
      </c>
      <c r="G32" s="108" t="s">
        <v>273</v>
      </c>
    </row>
    <row r="33" spans="1:7" ht="15" customHeight="1" x14ac:dyDescent="0.25">
      <c r="A33" s="214" t="s">
        <v>457</v>
      </c>
      <c r="B33" s="55">
        <v>5</v>
      </c>
      <c r="C33" s="113" t="s">
        <v>16</v>
      </c>
      <c r="E33" s="214" t="s">
        <v>457</v>
      </c>
      <c r="F33" s="55">
        <v>4</v>
      </c>
      <c r="G33" s="55" t="s">
        <v>16</v>
      </c>
    </row>
    <row r="34" spans="1:7" ht="15" customHeight="1" x14ac:dyDescent="0.25">
      <c r="A34" s="215"/>
      <c r="B34" s="55">
        <v>4</v>
      </c>
      <c r="C34" s="113" t="s">
        <v>380</v>
      </c>
      <c r="E34" s="215"/>
      <c r="F34" s="55">
        <v>3</v>
      </c>
      <c r="G34" s="55" t="s">
        <v>40</v>
      </c>
    </row>
    <row r="35" spans="1:7" x14ac:dyDescent="0.25">
      <c r="A35" s="215"/>
      <c r="B35" s="55">
        <v>4</v>
      </c>
      <c r="C35" s="165" t="s">
        <v>31</v>
      </c>
      <c r="E35" s="215"/>
      <c r="F35" s="55">
        <v>2</v>
      </c>
      <c r="G35" s="55" t="s">
        <v>31</v>
      </c>
    </row>
    <row r="36" spans="1:7" x14ac:dyDescent="0.25">
      <c r="E36" s="215"/>
      <c r="F36" s="55">
        <v>2</v>
      </c>
      <c r="G36" s="55" t="s">
        <v>387</v>
      </c>
    </row>
    <row r="38" spans="1:7" ht="18.75" x14ac:dyDescent="0.25">
      <c r="A38" s="208" t="s">
        <v>267</v>
      </c>
      <c r="B38" s="208"/>
      <c r="C38" s="208"/>
      <c r="E38" s="209" t="s">
        <v>268</v>
      </c>
      <c r="F38" s="209"/>
      <c r="G38" s="209"/>
    </row>
    <row r="39" spans="1:7" ht="31.5" x14ac:dyDescent="0.25">
      <c r="A39" s="108" t="s">
        <v>269</v>
      </c>
      <c r="B39" s="109" t="s">
        <v>270</v>
      </c>
      <c r="C39" s="108" t="s">
        <v>271</v>
      </c>
      <c r="E39" s="108" t="s">
        <v>269</v>
      </c>
      <c r="F39" s="108" t="s">
        <v>272</v>
      </c>
      <c r="G39" s="108" t="s">
        <v>273</v>
      </c>
    </row>
    <row r="40" spans="1:7" ht="15" customHeight="1" x14ac:dyDescent="0.25">
      <c r="A40" s="206" t="s">
        <v>491</v>
      </c>
      <c r="B40" s="55">
        <v>5</v>
      </c>
      <c r="C40" s="113" t="s">
        <v>31</v>
      </c>
      <c r="E40" s="214" t="s">
        <v>491</v>
      </c>
      <c r="F40" s="55">
        <v>2</v>
      </c>
      <c r="G40" s="55" t="s">
        <v>380</v>
      </c>
    </row>
    <row r="41" spans="1:7" ht="15" customHeight="1" x14ac:dyDescent="0.25">
      <c r="A41" s="207"/>
      <c r="B41" s="55">
        <v>5</v>
      </c>
      <c r="C41" s="113" t="s">
        <v>16</v>
      </c>
      <c r="E41" s="215"/>
      <c r="F41" s="55">
        <v>2</v>
      </c>
      <c r="G41" s="55" t="s">
        <v>31</v>
      </c>
    </row>
    <row r="42" spans="1:7" ht="15" customHeight="1" x14ac:dyDescent="0.25">
      <c r="E42" s="215"/>
      <c r="F42" s="55">
        <v>2</v>
      </c>
      <c r="G42" s="55" t="s">
        <v>16</v>
      </c>
    </row>
    <row r="43" spans="1:7" x14ac:dyDescent="0.25">
      <c r="E43" s="215"/>
      <c r="F43" s="55">
        <v>2</v>
      </c>
      <c r="G43" s="55" t="s">
        <v>472</v>
      </c>
    </row>
    <row r="45" spans="1:7" ht="18.75" x14ac:dyDescent="0.25">
      <c r="A45" s="208" t="s">
        <v>267</v>
      </c>
      <c r="B45" s="208"/>
      <c r="C45" s="208"/>
      <c r="E45" s="209" t="s">
        <v>268</v>
      </c>
      <c r="F45" s="209"/>
      <c r="G45" s="209"/>
    </row>
    <row r="46" spans="1:7" ht="31.5" x14ac:dyDescent="0.25">
      <c r="A46" s="108" t="s">
        <v>269</v>
      </c>
      <c r="B46" s="109" t="s">
        <v>270</v>
      </c>
      <c r="C46" s="108" t="s">
        <v>271</v>
      </c>
      <c r="E46" s="108" t="s">
        <v>269</v>
      </c>
      <c r="F46" s="108" t="s">
        <v>272</v>
      </c>
      <c r="G46" s="108" t="s">
        <v>273</v>
      </c>
    </row>
    <row r="47" spans="1:7" ht="15" customHeight="1" x14ac:dyDescent="0.25">
      <c r="A47" s="214" t="s">
        <v>548</v>
      </c>
      <c r="B47" s="55">
        <v>12</v>
      </c>
      <c r="C47" s="111" t="s">
        <v>380</v>
      </c>
      <c r="E47" s="206" t="s">
        <v>548</v>
      </c>
      <c r="F47" s="55">
        <v>2</v>
      </c>
      <c r="G47" s="55" t="s">
        <v>380</v>
      </c>
    </row>
    <row r="48" spans="1:7" ht="15" customHeight="1" x14ac:dyDescent="0.25">
      <c r="A48" s="215"/>
      <c r="B48" s="55">
        <v>5</v>
      </c>
      <c r="C48" s="111" t="s">
        <v>16</v>
      </c>
      <c r="E48" s="207"/>
      <c r="F48" s="55">
        <v>2</v>
      </c>
      <c r="G48" s="55" t="s">
        <v>31</v>
      </c>
    </row>
    <row r="49" spans="1:7" ht="15" customHeight="1" x14ac:dyDescent="0.25">
      <c r="A49" s="215"/>
      <c r="B49" s="111">
        <v>3</v>
      </c>
      <c r="C49" s="111" t="s">
        <v>31</v>
      </c>
      <c r="E49" s="207"/>
      <c r="F49" s="55">
        <v>6</v>
      </c>
      <c r="G49" s="55" t="s">
        <v>16</v>
      </c>
    </row>
    <row r="50" spans="1:7" ht="15" customHeight="1" x14ac:dyDescent="0.25"/>
    <row r="51" spans="1:7" ht="18.75" x14ac:dyDescent="0.25">
      <c r="A51" s="208" t="s">
        <v>267</v>
      </c>
      <c r="B51" s="208"/>
      <c r="C51" s="208"/>
      <c r="E51" s="209" t="s">
        <v>268</v>
      </c>
      <c r="F51" s="209"/>
      <c r="G51" s="209"/>
    </row>
    <row r="52" spans="1:7" ht="31.5" x14ac:dyDescent="0.25">
      <c r="A52" s="108" t="s">
        <v>269</v>
      </c>
      <c r="B52" s="109" t="s">
        <v>270</v>
      </c>
      <c r="C52" s="108" t="s">
        <v>271</v>
      </c>
      <c r="E52" s="108" t="s">
        <v>269</v>
      </c>
      <c r="F52" s="108" t="s">
        <v>272</v>
      </c>
      <c r="G52" s="108" t="s">
        <v>273</v>
      </c>
    </row>
    <row r="53" spans="1:7" ht="15" customHeight="1" x14ac:dyDescent="0.25">
      <c r="A53" s="214" t="s">
        <v>640</v>
      </c>
      <c r="B53" s="55">
        <v>5</v>
      </c>
      <c r="C53" s="111" t="s">
        <v>380</v>
      </c>
      <c r="E53" s="214" t="s">
        <v>640</v>
      </c>
      <c r="F53" s="55">
        <v>4</v>
      </c>
      <c r="G53" s="55" t="s">
        <v>380</v>
      </c>
    </row>
    <row r="54" spans="1:7" ht="15" customHeight="1" x14ac:dyDescent="0.25">
      <c r="A54" s="215"/>
      <c r="B54" s="55">
        <v>3</v>
      </c>
      <c r="C54" s="111" t="s">
        <v>472</v>
      </c>
      <c r="E54" s="215"/>
      <c r="F54" s="55">
        <v>3</v>
      </c>
      <c r="G54" s="55" t="s">
        <v>472</v>
      </c>
    </row>
    <row r="55" spans="1:7" ht="15" customHeight="1" x14ac:dyDescent="0.25">
      <c r="A55" s="215"/>
      <c r="B55" s="111">
        <v>3</v>
      </c>
      <c r="C55" s="111" t="s">
        <v>16</v>
      </c>
      <c r="E55" s="215"/>
      <c r="F55" s="55">
        <v>1</v>
      </c>
      <c r="G55" s="55" t="s">
        <v>16</v>
      </c>
    </row>
    <row r="56" spans="1:7" ht="15" customHeight="1" x14ac:dyDescent="0.25">
      <c r="A56" s="215"/>
      <c r="B56" s="111">
        <v>2</v>
      </c>
      <c r="C56" s="111" t="s">
        <v>31</v>
      </c>
    </row>
    <row r="57" spans="1:7" ht="18.75" x14ac:dyDescent="0.25">
      <c r="E57" s="209" t="s">
        <v>268</v>
      </c>
      <c r="F57" s="209"/>
      <c r="G57" s="209"/>
    </row>
    <row r="58" spans="1:7" ht="18.75" x14ac:dyDescent="0.25">
      <c r="A58" s="208" t="s">
        <v>267</v>
      </c>
      <c r="B58" s="208"/>
      <c r="C58" s="208"/>
      <c r="E58" s="108" t="s">
        <v>269</v>
      </c>
      <c r="F58" s="108" t="s">
        <v>272</v>
      </c>
      <c r="G58" s="108" t="s">
        <v>273</v>
      </c>
    </row>
    <row r="59" spans="1:7" ht="15" customHeight="1" x14ac:dyDescent="0.25">
      <c r="A59" s="108" t="s">
        <v>269</v>
      </c>
      <c r="B59" s="109" t="s">
        <v>270</v>
      </c>
      <c r="C59" s="108" t="s">
        <v>271</v>
      </c>
      <c r="E59" s="221" t="s">
        <v>641</v>
      </c>
      <c r="F59" s="55">
        <v>4</v>
      </c>
      <c r="G59" s="55" t="s">
        <v>31</v>
      </c>
    </row>
    <row r="60" spans="1:7" ht="15" customHeight="1" x14ac:dyDescent="0.25">
      <c r="A60" s="223" t="s">
        <v>641</v>
      </c>
      <c r="B60" s="55">
        <v>9</v>
      </c>
      <c r="C60" s="111" t="s">
        <v>380</v>
      </c>
      <c r="E60" s="222"/>
      <c r="F60" s="55">
        <v>3</v>
      </c>
      <c r="G60" s="55" t="s">
        <v>380</v>
      </c>
    </row>
    <row r="61" spans="1:7" ht="15" customHeight="1" x14ac:dyDescent="0.25">
      <c r="A61" s="224"/>
      <c r="B61" s="55">
        <v>5</v>
      </c>
      <c r="C61" s="111" t="s">
        <v>31</v>
      </c>
      <c r="E61" s="222"/>
      <c r="F61" s="55">
        <v>3</v>
      </c>
      <c r="G61" s="55" t="s">
        <v>16</v>
      </c>
    </row>
    <row r="62" spans="1:7" ht="15" customHeight="1" x14ac:dyDescent="0.25">
      <c r="A62" s="224"/>
      <c r="B62" s="111">
        <v>5</v>
      </c>
      <c r="C62" s="111" t="s">
        <v>16</v>
      </c>
      <c r="E62" s="222"/>
      <c r="F62" s="55">
        <v>2</v>
      </c>
      <c r="G62" s="55" t="s">
        <v>122</v>
      </c>
    </row>
    <row r="63" spans="1:7" ht="15" customHeight="1" x14ac:dyDescent="0.25">
      <c r="A63" s="224"/>
      <c r="B63" s="55">
        <v>2</v>
      </c>
      <c r="C63" s="111" t="s">
        <v>122</v>
      </c>
      <c r="E63" s="222"/>
      <c r="F63" s="55">
        <v>1</v>
      </c>
      <c r="G63" s="55" t="s">
        <v>40</v>
      </c>
    </row>
    <row r="64" spans="1:7" ht="15.75" x14ac:dyDescent="0.25">
      <c r="A64" s="224"/>
      <c r="B64" s="55">
        <v>1</v>
      </c>
      <c r="C64" s="111" t="s">
        <v>40</v>
      </c>
      <c r="E64" s="183"/>
      <c r="F64" s="92"/>
      <c r="G64" s="92"/>
    </row>
    <row r="66" spans="1:7" ht="18.75" x14ac:dyDescent="0.25">
      <c r="A66" s="208" t="s">
        <v>267</v>
      </c>
      <c r="B66" s="208"/>
      <c r="C66" s="208"/>
      <c r="E66" s="209" t="s">
        <v>268</v>
      </c>
      <c r="F66" s="209"/>
      <c r="G66" s="209"/>
    </row>
    <row r="67" spans="1:7" ht="15" customHeight="1" x14ac:dyDescent="0.25">
      <c r="A67" s="108" t="s">
        <v>269</v>
      </c>
      <c r="B67" s="109" t="s">
        <v>270</v>
      </c>
      <c r="C67" s="108" t="s">
        <v>271</v>
      </c>
      <c r="E67" s="108" t="s">
        <v>269</v>
      </c>
      <c r="F67" s="108" t="s">
        <v>272</v>
      </c>
      <c r="G67" s="108" t="s">
        <v>273</v>
      </c>
    </row>
    <row r="68" spans="1:7" ht="15" customHeight="1" x14ac:dyDescent="0.25">
      <c r="A68" s="214" t="s">
        <v>642</v>
      </c>
      <c r="B68" s="55">
        <v>2</v>
      </c>
      <c r="C68" s="111" t="s">
        <v>16</v>
      </c>
      <c r="E68" s="206" t="s">
        <v>642</v>
      </c>
      <c r="F68" s="55">
        <v>3</v>
      </c>
      <c r="G68" s="55" t="s">
        <v>380</v>
      </c>
    </row>
    <row r="69" spans="1:7" ht="15" customHeight="1" x14ac:dyDescent="0.25">
      <c r="A69" s="215"/>
      <c r="B69" s="55">
        <v>1</v>
      </c>
      <c r="C69" s="111" t="s">
        <v>380</v>
      </c>
      <c r="E69" s="207"/>
      <c r="F69" s="55">
        <v>2</v>
      </c>
      <c r="G69" s="55" t="s">
        <v>608</v>
      </c>
    </row>
    <row r="70" spans="1:7" ht="15" customHeight="1" x14ac:dyDescent="0.25">
      <c r="A70" s="215"/>
      <c r="B70" s="111">
        <v>1</v>
      </c>
      <c r="C70" s="111" t="s">
        <v>31</v>
      </c>
      <c r="E70" s="207"/>
      <c r="F70" s="55">
        <v>1</v>
      </c>
      <c r="G70" s="55" t="s">
        <v>16</v>
      </c>
    </row>
    <row r="71" spans="1:7" ht="15" customHeight="1" x14ac:dyDescent="0.25">
      <c r="A71" s="215"/>
      <c r="B71" s="55">
        <v>1</v>
      </c>
      <c r="C71" s="111" t="s">
        <v>472</v>
      </c>
      <c r="E71" s="207"/>
      <c r="F71" s="55">
        <v>1</v>
      </c>
      <c r="G71" s="55" t="s">
        <v>31</v>
      </c>
    </row>
    <row r="73" spans="1:7" ht="18.75" x14ac:dyDescent="0.25">
      <c r="A73" s="208" t="s">
        <v>267</v>
      </c>
      <c r="B73" s="208"/>
      <c r="C73" s="208"/>
      <c r="E73" s="209" t="s">
        <v>268</v>
      </c>
      <c r="F73" s="209"/>
      <c r="G73" s="209"/>
    </row>
    <row r="74" spans="1:7" ht="31.5" x14ac:dyDescent="0.25">
      <c r="A74" s="108" t="s">
        <v>269</v>
      </c>
      <c r="B74" s="109" t="s">
        <v>270</v>
      </c>
      <c r="C74" s="108" t="s">
        <v>271</v>
      </c>
      <c r="E74" s="108" t="s">
        <v>269</v>
      </c>
      <c r="F74" s="108" t="s">
        <v>272</v>
      </c>
      <c r="G74" s="108" t="s">
        <v>273</v>
      </c>
    </row>
    <row r="75" spans="1:7" x14ac:dyDescent="0.25">
      <c r="A75" s="225" t="s">
        <v>683</v>
      </c>
      <c r="B75" s="55">
        <v>12</v>
      </c>
      <c r="C75" s="111" t="s">
        <v>380</v>
      </c>
      <c r="E75" s="227" t="s">
        <v>683</v>
      </c>
      <c r="F75" s="55">
        <v>2</v>
      </c>
      <c r="G75" s="55" t="s">
        <v>16</v>
      </c>
    </row>
    <row r="76" spans="1:7" x14ac:dyDescent="0.25">
      <c r="A76" s="226"/>
      <c r="B76" s="55">
        <v>5</v>
      </c>
      <c r="C76" s="111" t="s">
        <v>16</v>
      </c>
      <c r="E76" s="228"/>
      <c r="F76" s="55">
        <v>1</v>
      </c>
      <c r="G76" s="55" t="s">
        <v>31</v>
      </c>
    </row>
    <row r="77" spans="1:7" x14ac:dyDescent="0.25">
      <c r="A77" s="226"/>
      <c r="B77" s="111">
        <v>3</v>
      </c>
      <c r="C77" s="111" t="s">
        <v>31</v>
      </c>
      <c r="E77" s="228"/>
      <c r="F77" s="55">
        <v>1</v>
      </c>
      <c r="G77" s="55" t="s">
        <v>380</v>
      </c>
    </row>
    <row r="78" spans="1:7" x14ac:dyDescent="0.25">
      <c r="A78" s="226"/>
      <c r="B78" s="55">
        <v>2</v>
      </c>
      <c r="C78" s="111" t="s">
        <v>472</v>
      </c>
      <c r="E78" s="228"/>
      <c r="F78" s="55"/>
      <c r="G78" s="55"/>
    </row>
    <row r="80" spans="1:7" ht="18.75" x14ac:dyDescent="0.25">
      <c r="A80" s="208" t="s">
        <v>267</v>
      </c>
      <c r="B80" s="208"/>
      <c r="C80" s="208"/>
      <c r="E80" s="209" t="s">
        <v>268</v>
      </c>
      <c r="F80" s="209"/>
      <c r="G80" s="209"/>
    </row>
    <row r="81" spans="1:7" ht="31.5" x14ac:dyDescent="0.25">
      <c r="A81" s="108" t="s">
        <v>269</v>
      </c>
      <c r="B81" s="109" t="s">
        <v>270</v>
      </c>
      <c r="C81" s="108" t="s">
        <v>271</v>
      </c>
      <c r="E81" s="108" t="s">
        <v>269</v>
      </c>
      <c r="F81" s="108" t="s">
        <v>272</v>
      </c>
      <c r="G81" s="108" t="s">
        <v>273</v>
      </c>
    </row>
    <row r="82" spans="1:7" ht="15" customHeight="1" x14ac:dyDescent="0.25">
      <c r="A82" s="219" t="s">
        <v>692</v>
      </c>
      <c r="B82" s="55">
        <v>3</v>
      </c>
      <c r="C82" s="111" t="s">
        <v>472</v>
      </c>
      <c r="E82" s="219" t="s">
        <v>692</v>
      </c>
      <c r="F82" s="55">
        <v>6</v>
      </c>
      <c r="G82" s="55" t="s">
        <v>472</v>
      </c>
    </row>
    <row r="83" spans="1:7" x14ac:dyDescent="0.25">
      <c r="A83" s="220"/>
      <c r="B83" s="55">
        <v>2</v>
      </c>
      <c r="C83" s="111" t="s">
        <v>31</v>
      </c>
      <c r="E83" s="220"/>
      <c r="F83" s="55">
        <v>1</v>
      </c>
      <c r="G83" s="55" t="s">
        <v>16</v>
      </c>
    </row>
    <row r="84" spans="1:7" x14ac:dyDescent="0.25">
      <c r="A84" s="220"/>
      <c r="B84" s="111">
        <v>1</v>
      </c>
      <c r="C84" s="111" t="s">
        <v>16</v>
      </c>
      <c r="E84" s="220"/>
      <c r="F84" s="55"/>
      <c r="G84" s="55"/>
    </row>
  </sheetData>
  <mergeCells count="49">
    <mergeCell ref="A80:C80"/>
    <mergeCell ref="E80:G80"/>
    <mergeCell ref="E82:E84"/>
    <mergeCell ref="A82:A84"/>
    <mergeCell ref="A73:C73"/>
    <mergeCell ref="E73:G73"/>
    <mergeCell ref="A75:A78"/>
    <mergeCell ref="E75:E78"/>
    <mergeCell ref="A66:C66"/>
    <mergeCell ref="E66:G66"/>
    <mergeCell ref="E68:E71"/>
    <mergeCell ref="A68:A71"/>
    <mergeCell ref="A58:C58"/>
    <mergeCell ref="E57:G57"/>
    <mergeCell ref="E59:E63"/>
    <mergeCell ref="A60:A64"/>
    <mergeCell ref="A51:C51"/>
    <mergeCell ref="E51:G51"/>
    <mergeCell ref="E53:E55"/>
    <mergeCell ref="A53:A56"/>
    <mergeCell ref="A45:C45"/>
    <mergeCell ref="E45:G45"/>
    <mergeCell ref="E47:E49"/>
    <mergeCell ref="A47:A49"/>
    <mergeCell ref="A8:C8"/>
    <mergeCell ref="E8:G8"/>
    <mergeCell ref="F10:F12"/>
    <mergeCell ref="G10:G12"/>
    <mergeCell ref="E16:E18"/>
    <mergeCell ref="A14:C14"/>
    <mergeCell ref="E14:G14"/>
    <mergeCell ref="A10:A12"/>
    <mergeCell ref="E10:E12"/>
    <mergeCell ref="A38:C38"/>
    <mergeCell ref="E38:G38"/>
    <mergeCell ref="E40:E43"/>
    <mergeCell ref="A40:A41"/>
    <mergeCell ref="A20:C20"/>
    <mergeCell ref="E20:G20"/>
    <mergeCell ref="A22:A24"/>
    <mergeCell ref="E22:E23"/>
    <mergeCell ref="A31:C31"/>
    <mergeCell ref="E31:G31"/>
    <mergeCell ref="A33:A35"/>
    <mergeCell ref="E33:E36"/>
    <mergeCell ref="A26:C26"/>
    <mergeCell ref="E26:G26"/>
    <mergeCell ref="E28:E29"/>
    <mergeCell ref="A28:A29"/>
  </mergeCells>
  <pageMargins left="0.7" right="0.7" top="0.75" bottom="0.75" header="0.3" footer="0.3"/>
  <pageSetup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0C4E-3DEB-48B0-BC49-558B823AEF24}">
  <sheetPr>
    <tabColor rgb="FFFEDEF7"/>
  </sheetPr>
  <dimension ref="A2:M13"/>
  <sheetViews>
    <sheetView workbookViewId="0">
      <selection activeCell="E27" sqref="E27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9.28515625" bestFit="1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6.5" thickBot="1" x14ac:dyDescent="0.3">
      <c r="A7" s="203" t="s">
        <v>15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5"/>
    </row>
    <row r="8" spans="1:13" x14ac:dyDescent="0.25">
      <c r="A8" s="36">
        <v>1</v>
      </c>
      <c r="B8" s="36" t="s">
        <v>16</v>
      </c>
      <c r="C8" s="36" t="s">
        <v>222</v>
      </c>
      <c r="D8" s="36">
        <v>267804</v>
      </c>
      <c r="E8" s="36" t="s">
        <v>17</v>
      </c>
      <c r="F8" s="36" t="s">
        <v>223</v>
      </c>
      <c r="G8" s="36" t="s">
        <v>24</v>
      </c>
      <c r="H8" s="36" t="s">
        <v>20</v>
      </c>
      <c r="I8" s="37">
        <v>45313</v>
      </c>
      <c r="J8" s="37">
        <v>45684</v>
      </c>
      <c r="K8" s="38">
        <v>13000</v>
      </c>
      <c r="L8" s="66" t="s">
        <v>220</v>
      </c>
      <c r="M8" s="38"/>
    </row>
    <row r="9" spans="1:13" x14ac:dyDescent="0.25">
      <c r="A9" s="13">
        <v>2</v>
      </c>
      <c r="B9" s="13" t="s">
        <v>40</v>
      </c>
      <c r="C9" s="13" t="s">
        <v>225</v>
      </c>
      <c r="D9" s="13">
        <v>268294</v>
      </c>
      <c r="E9" s="13" t="s">
        <v>17</v>
      </c>
      <c r="F9" s="13" t="s">
        <v>217</v>
      </c>
      <c r="G9" s="13" t="s">
        <v>19</v>
      </c>
      <c r="H9" s="13" t="s">
        <v>20</v>
      </c>
      <c r="I9" s="14">
        <v>45674</v>
      </c>
      <c r="J9" s="14">
        <v>45686</v>
      </c>
      <c r="K9" s="15">
        <v>23000</v>
      </c>
      <c r="L9" s="82"/>
      <c r="M9" s="13"/>
    </row>
    <row r="10" spans="1:13" x14ac:dyDescent="0.25">
      <c r="A10" s="13">
        <v>3</v>
      </c>
      <c r="B10" s="13" t="s">
        <v>31</v>
      </c>
      <c r="C10" s="13" t="s">
        <v>226</v>
      </c>
      <c r="D10" s="13">
        <v>269128</v>
      </c>
      <c r="E10" s="13" t="s">
        <v>103</v>
      </c>
      <c r="F10" s="48" t="s">
        <v>227</v>
      </c>
      <c r="G10" s="13" t="s">
        <v>19</v>
      </c>
      <c r="H10" s="13" t="s">
        <v>25</v>
      </c>
      <c r="I10" s="14">
        <v>45658</v>
      </c>
      <c r="J10" s="14">
        <v>45688</v>
      </c>
      <c r="K10" s="15">
        <v>200</v>
      </c>
      <c r="L10" s="53"/>
      <c r="M10" s="13"/>
    </row>
    <row r="11" spans="1:13" x14ac:dyDescent="0.25">
      <c r="A11" s="13">
        <v>4</v>
      </c>
      <c r="B11" s="13" t="s">
        <v>31</v>
      </c>
      <c r="C11" s="13" t="s">
        <v>228</v>
      </c>
      <c r="D11" s="13">
        <v>269132</v>
      </c>
      <c r="E11" s="13" t="s">
        <v>103</v>
      </c>
      <c r="F11" s="48" t="s">
        <v>229</v>
      </c>
      <c r="G11" s="13" t="s">
        <v>19</v>
      </c>
      <c r="H11" s="13" t="s">
        <v>25</v>
      </c>
      <c r="I11" s="14">
        <v>45658</v>
      </c>
      <c r="J11" s="14">
        <v>45688</v>
      </c>
      <c r="K11" s="15">
        <v>204</v>
      </c>
      <c r="L11" s="53"/>
      <c r="M11" s="13"/>
    </row>
    <row r="12" spans="1:13" x14ac:dyDescent="0.25">
      <c r="A12" s="13">
        <v>5</v>
      </c>
      <c r="B12" s="13" t="s">
        <v>31</v>
      </c>
      <c r="C12" s="13" t="s">
        <v>230</v>
      </c>
      <c r="D12" s="13">
        <v>269142</v>
      </c>
      <c r="E12" s="13" t="s">
        <v>103</v>
      </c>
      <c r="F12" s="48" t="s">
        <v>232</v>
      </c>
      <c r="G12" s="13" t="s">
        <v>19</v>
      </c>
      <c r="H12" s="13" t="s">
        <v>25</v>
      </c>
      <c r="I12" s="14">
        <v>45658</v>
      </c>
      <c r="J12" s="14">
        <v>45688</v>
      </c>
      <c r="K12" s="15">
        <v>304</v>
      </c>
      <c r="L12" s="53"/>
      <c r="M12" s="13"/>
    </row>
    <row r="13" spans="1:13" x14ac:dyDescent="0.25">
      <c r="A13" s="13">
        <v>6</v>
      </c>
      <c r="B13" s="13" t="s">
        <v>31</v>
      </c>
      <c r="C13" s="13" t="s">
        <v>231</v>
      </c>
      <c r="D13" s="13">
        <v>269150</v>
      </c>
      <c r="E13" s="13" t="s">
        <v>103</v>
      </c>
      <c r="F13" s="48" t="s">
        <v>233</v>
      </c>
      <c r="G13" s="13" t="s">
        <v>19</v>
      </c>
      <c r="H13" s="13" t="s">
        <v>25</v>
      </c>
      <c r="I13" s="14">
        <v>45658</v>
      </c>
      <c r="J13" s="14">
        <v>45688</v>
      </c>
      <c r="K13" s="15">
        <v>204</v>
      </c>
      <c r="L13" s="53"/>
      <c r="M13" s="13"/>
    </row>
  </sheetData>
  <mergeCells count="2">
    <mergeCell ref="A3:M3"/>
    <mergeCell ref="A7:M7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0416-82B4-4E39-8526-DB74F0A14537}">
  <sheetPr>
    <tabColor rgb="FFFEDEF7"/>
  </sheetPr>
  <dimension ref="A2:M17"/>
  <sheetViews>
    <sheetView workbookViewId="0">
      <selection activeCell="E25" sqref="E25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5.75" x14ac:dyDescent="0.25">
      <c r="A7" s="229" t="s">
        <v>51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3" x14ac:dyDescent="0.25">
      <c r="A8" s="18">
        <v>1</v>
      </c>
      <c r="B8" s="18" t="s">
        <v>16</v>
      </c>
      <c r="C8" s="18" t="s">
        <v>234</v>
      </c>
      <c r="D8" s="18">
        <v>268756</v>
      </c>
      <c r="E8" s="18" t="s">
        <v>101</v>
      </c>
      <c r="F8" s="18" t="s">
        <v>235</v>
      </c>
      <c r="G8" s="18" t="s">
        <v>19</v>
      </c>
      <c r="H8" s="18" t="s">
        <v>20</v>
      </c>
      <c r="I8" s="19">
        <v>45687</v>
      </c>
      <c r="J8" s="19">
        <v>45698</v>
      </c>
      <c r="K8" s="20">
        <v>15000</v>
      </c>
      <c r="L8" s="27" t="s">
        <v>195</v>
      </c>
      <c r="M8" s="18"/>
    </row>
    <row r="9" spans="1:13" x14ac:dyDescent="0.25">
      <c r="A9" s="18">
        <v>2</v>
      </c>
      <c r="B9" s="18" t="s">
        <v>16</v>
      </c>
      <c r="C9" s="18" t="s">
        <v>236</v>
      </c>
      <c r="D9" s="18">
        <v>269923</v>
      </c>
      <c r="E9" s="18" t="s">
        <v>36</v>
      </c>
      <c r="F9" s="27" t="s">
        <v>237</v>
      </c>
      <c r="G9" s="18" t="s">
        <v>19</v>
      </c>
      <c r="H9" s="18" t="s">
        <v>20</v>
      </c>
      <c r="I9" s="19">
        <v>45695</v>
      </c>
      <c r="J9" s="19">
        <v>45698</v>
      </c>
      <c r="K9" s="20">
        <v>80000</v>
      </c>
      <c r="L9" s="18"/>
      <c r="M9" s="18"/>
    </row>
    <row r="10" spans="1:13" x14ac:dyDescent="0.25">
      <c r="A10" s="18">
        <v>3</v>
      </c>
      <c r="B10" s="18" t="s">
        <v>16</v>
      </c>
      <c r="C10" s="18" t="s">
        <v>238</v>
      </c>
      <c r="D10" s="18">
        <v>269967</v>
      </c>
      <c r="E10" s="18" t="s">
        <v>36</v>
      </c>
      <c r="F10" s="18" t="s">
        <v>39</v>
      </c>
      <c r="G10" s="18" t="s">
        <v>19</v>
      </c>
      <c r="H10" s="18" t="s">
        <v>20</v>
      </c>
      <c r="I10" s="19">
        <v>45695</v>
      </c>
      <c r="J10" s="19">
        <v>45698</v>
      </c>
      <c r="K10" s="20">
        <v>50000</v>
      </c>
      <c r="L10" s="18"/>
      <c r="M10" s="18"/>
    </row>
    <row r="11" spans="1:13" x14ac:dyDescent="0.25">
      <c r="A11" s="105">
        <v>4</v>
      </c>
      <c r="B11" s="105" t="s">
        <v>40</v>
      </c>
      <c r="C11" s="105" t="s">
        <v>240</v>
      </c>
      <c r="D11" s="72">
        <v>270817</v>
      </c>
      <c r="E11" s="105" t="s">
        <v>17</v>
      </c>
      <c r="F11" s="106" t="s">
        <v>239</v>
      </c>
      <c r="G11" s="105" t="s">
        <v>19</v>
      </c>
      <c r="H11" s="105" t="s">
        <v>20</v>
      </c>
      <c r="I11" s="14">
        <v>45696</v>
      </c>
      <c r="J11" s="14">
        <v>45701</v>
      </c>
      <c r="K11" s="15">
        <v>15000</v>
      </c>
      <c r="L11" s="82"/>
      <c r="M11" s="15"/>
    </row>
    <row r="12" spans="1:13" x14ac:dyDescent="0.25">
      <c r="A12" s="13">
        <v>5</v>
      </c>
      <c r="B12" s="13" t="s">
        <v>16</v>
      </c>
      <c r="C12" s="13" t="s">
        <v>244</v>
      </c>
      <c r="D12" s="13">
        <v>271753</v>
      </c>
      <c r="E12" s="13" t="s">
        <v>17</v>
      </c>
      <c r="F12" s="13" t="s">
        <v>83</v>
      </c>
      <c r="G12" s="13" t="s">
        <v>19</v>
      </c>
      <c r="H12" s="13" t="s">
        <v>20</v>
      </c>
      <c r="I12" s="14">
        <v>45708</v>
      </c>
      <c r="J12" s="14">
        <v>45712</v>
      </c>
      <c r="K12" s="15">
        <v>18500</v>
      </c>
      <c r="L12" s="82"/>
      <c r="M12" s="13"/>
    </row>
    <row r="13" spans="1:13" x14ac:dyDescent="0.25">
      <c r="A13" s="13">
        <v>6</v>
      </c>
      <c r="B13" s="13" t="s">
        <v>16</v>
      </c>
      <c r="C13" s="13" t="s">
        <v>245</v>
      </c>
      <c r="D13" s="13">
        <v>272082</v>
      </c>
      <c r="E13" s="13" t="s">
        <v>33</v>
      </c>
      <c r="F13" s="13" t="s">
        <v>246</v>
      </c>
      <c r="G13" s="13" t="s">
        <v>19</v>
      </c>
      <c r="H13" s="13" t="s">
        <v>20</v>
      </c>
      <c r="I13" s="14">
        <v>45711</v>
      </c>
      <c r="J13" s="14">
        <v>45712</v>
      </c>
      <c r="K13" s="15">
        <v>31000</v>
      </c>
      <c r="L13" s="53"/>
      <c r="M13" s="13"/>
    </row>
    <row r="14" spans="1:13" x14ac:dyDescent="0.25">
      <c r="A14" s="13">
        <v>7</v>
      </c>
      <c r="B14" s="13" t="s">
        <v>16</v>
      </c>
      <c r="C14" s="13" t="s">
        <v>247</v>
      </c>
      <c r="D14" s="13">
        <v>270103</v>
      </c>
      <c r="E14" s="13" t="s">
        <v>17</v>
      </c>
      <c r="F14" s="46" t="s">
        <v>250</v>
      </c>
      <c r="G14" s="13" t="s">
        <v>24</v>
      </c>
      <c r="H14" s="13" t="s">
        <v>20</v>
      </c>
      <c r="I14" s="14">
        <v>45714</v>
      </c>
      <c r="J14" s="14">
        <v>45716</v>
      </c>
      <c r="K14" s="15">
        <v>26800</v>
      </c>
      <c r="L14" s="53" t="s">
        <v>252</v>
      </c>
      <c r="M14" s="13"/>
    </row>
    <row r="15" spans="1:13" x14ac:dyDescent="0.25">
      <c r="A15" s="13">
        <v>8</v>
      </c>
      <c r="B15" s="13" t="s">
        <v>16</v>
      </c>
      <c r="C15" s="13" t="s">
        <v>248</v>
      </c>
      <c r="D15" s="13">
        <v>272707</v>
      </c>
      <c r="E15" s="13" t="s">
        <v>17</v>
      </c>
      <c r="F15" s="48" t="s">
        <v>251</v>
      </c>
      <c r="G15" s="13" t="s">
        <v>24</v>
      </c>
      <c r="H15" s="13" t="s">
        <v>20</v>
      </c>
      <c r="I15" s="14">
        <v>45714</v>
      </c>
      <c r="J15" s="14">
        <v>45716</v>
      </c>
      <c r="K15" s="15">
        <v>27000</v>
      </c>
      <c r="L15" s="53" t="s">
        <v>252</v>
      </c>
      <c r="M15" s="13"/>
    </row>
    <row r="16" spans="1:13" x14ac:dyDescent="0.25">
      <c r="A16" s="13">
        <v>9</v>
      </c>
      <c r="B16" s="13" t="s">
        <v>16</v>
      </c>
      <c r="C16" s="13" t="s">
        <v>249</v>
      </c>
      <c r="D16" s="13">
        <v>272979</v>
      </c>
      <c r="E16" s="13" t="s">
        <v>33</v>
      </c>
      <c r="F16" s="13" t="s">
        <v>253</v>
      </c>
      <c r="G16" s="13" t="s">
        <v>19</v>
      </c>
      <c r="H16" s="13" t="s">
        <v>20</v>
      </c>
      <c r="I16" s="14">
        <v>45713</v>
      </c>
      <c r="J16" s="14">
        <v>45716</v>
      </c>
      <c r="K16" s="15">
        <v>35000</v>
      </c>
      <c r="L16" s="53" t="s">
        <v>254</v>
      </c>
      <c r="M16" s="13"/>
    </row>
    <row r="17" spans="1:13" x14ac:dyDescent="0.25">
      <c r="A17" s="13">
        <v>10</v>
      </c>
      <c r="B17" s="13" t="s">
        <v>16</v>
      </c>
      <c r="C17" s="13" t="s">
        <v>255</v>
      </c>
      <c r="D17" s="13">
        <v>273003</v>
      </c>
      <c r="E17" s="13" t="s">
        <v>17</v>
      </c>
      <c r="F17" s="46" t="s">
        <v>181</v>
      </c>
      <c r="G17" s="13" t="s">
        <v>24</v>
      </c>
      <c r="H17" s="13" t="s">
        <v>20</v>
      </c>
      <c r="I17" s="14">
        <v>45715</v>
      </c>
      <c r="J17" s="14">
        <v>45716</v>
      </c>
      <c r="K17" s="15">
        <v>17500</v>
      </c>
      <c r="L17" s="53" t="s">
        <v>256</v>
      </c>
      <c r="M17" s="13"/>
    </row>
  </sheetData>
  <mergeCells count="2">
    <mergeCell ref="A3:M3"/>
    <mergeCell ref="A7:M7"/>
  </mergeCells>
  <pageMargins left="0.7" right="0.7" top="0.75" bottom="0.75" header="0.3" footer="0.3"/>
  <pageSetup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3490-CA41-4556-B0BD-63EF65D037A7}">
  <sheetPr>
    <tabColor rgb="FFFEDEF7"/>
  </sheetPr>
  <dimension ref="A2:M28"/>
  <sheetViews>
    <sheetView topLeftCell="A4" workbookViewId="0">
      <selection activeCell="D37" sqref="D37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5.75" x14ac:dyDescent="0.25">
      <c r="A7" s="229" t="s">
        <v>66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3" x14ac:dyDescent="0.25">
      <c r="A8" s="13">
        <v>1</v>
      </c>
      <c r="B8" s="13" t="s">
        <v>40</v>
      </c>
      <c r="C8" s="13" t="s">
        <v>257</v>
      </c>
      <c r="D8" s="13">
        <v>273442</v>
      </c>
      <c r="E8" s="13" t="s">
        <v>36</v>
      </c>
      <c r="F8" s="13" t="s">
        <v>258</v>
      </c>
      <c r="G8" s="13" t="s">
        <v>19</v>
      </c>
      <c r="H8" s="13" t="s">
        <v>20</v>
      </c>
      <c r="I8" s="14">
        <v>45712</v>
      </c>
      <c r="J8" s="14">
        <v>45719</v>
      </c>
      <c r="K8" s="15">
        <v>65000</v>
      </c>
      <c r="L8" s="82"/>
      <c r="M8" s="15"/>
    </row>
    <row r="9" spans="1:13" x14ac:dyDescent="0.25">
      <c r="A9" s="13">
        <v>2</v>
      </c>
      <c r="B9" s="13" t="s">
        <v>16</v>
      </c>
      <c r="C9" s="13" t="s">
        <v>259</v>
      </c>
      <c r="D9" s="13">
        <v>273421</v>
      </c>
      <c r="E9" s="13" t="s">
        <v>17</v>
      </c>
      <c r="F9" s="13" t="s">
        <v>134</v>
      </c>
      <c r="G9" s="13" t="s">
        <v>19</v>
      </c>
      <c r="H9" s="13" t="s">
        <v>20</v>
      </c>
      <c r="I9" s="14">
        <v>45718</v>
      </c>
      <c r="J9" s="14">
        <v>45721</v>
      </c>
      <c r="K9" s="15">
        <v>15000</v>
      </c>
      <c r="L9" s="82"/>
      <c r="M9" s="13"/>
    </row>
    <row r="10" spans="1:13" x14ac:dyDescent="0.25">
      <c r="A10" s="13">
        <v>3</v>
      </c>
      <c r="B10" s="13" t="s">
        <v>16</v>
      </c>
      <c r="C10" s="13" t="s">
        <v>260</v>
      </c>
      <c r="D10" s="13">
        <v>273208</v>
      </c>
      <c r="E10" s="13" t="s">
        <v>93</v>
      </c>
      <c r="F10" s="13" t="s">
        <v>261</v>
      </c>
      <c r="G10" s="13" t="s">
        <v>19</v>
      </c>
      <c r="H10" s="13" t="s">
        <v>20</v>
      </c>
      <c r="I10" s="14">
        <v>45717</v>
      </c>
      <c r="J10" s="14">
        <v>45721</v>
      </c>
      <c r="K10" s="15">
        <v>20000</v>
      </c>
      <c r="L10" s="53" t="s">
        <v>262</v>
      </c>
      <c r="M10" s="13"/>
    </row>
    <row r="11" spans="1:13" x14ac:dyDescent="0.25">
      <c r="A11" s="13">
        <v>4</v>
      </c>
      <c r="B11" s="13" t="s">
        <v>40</v>
      </c>
      <c r="C11" s="13" t="s">
        <v>263</v>
      </c>
      <c r="D11" s="13">
        <v>273392</v>
      </c>
      <c r="E11" s="13" t="s">
        <v>101</v>
      </c>
      <c r="F11" s="13" t="s">
        <v>49</v>
      </c>
      <c r="G11" s="13" t="s">
        <v>19</v>
      </c>
      <c r="H11" s="13" t="s">
        <v>20</v>
      </c>
      <c r="I11" s="14">
        <v>45712</v>
      </c>
      <c r="J11" s="14">
        <v>45721</v>
      </c>
      <c r="K11" s="15">
        <v>46000</v>
      </c>
      <c r="L11" s="53"/>
      <c r="M11" s="13"/>
    </row>
    <row r="12" spans="1:13" x14ac:dyDescent="0.25">
      <c r="A12" s="13">
        <v>5</v>
      </c>
      <c r="B12" s="13" t="s">
        <v>40</v>
      </c>
      <c r="C12" s="13" t="s">
        <v>264</v>
      </c>
      <c r="D12" s="13">
        <v>273441</v>
      </c>
      <c r="E12" s="13" t="s">
        <v>93</v>
      </c>
      <c r="F12" s="13" t="s">
        <v>49</v>
      </c>
      <c r="G12" s="13" t="s">
        <v>19</v>
      </c>
      <c r="H12" s="13" t="s">
        <v>20</v>
      </c>
      <c r="I12" s="14">
        <v>45712</v>
      </c>
      <c r="J12" s="14">
        <v>45722</v>
      </c>
      <c r="K12" s="15">
        <v>90000</v>
      </c>
      <c r="L12" s="53"/>
      <c r="M12" s="13"/>
    </row>
    <row r="13" spans="1:13" x14ac:dyDescent="0.25">
      <c r="A13" s="13">
        <v>6</v>
      </c>
      <c r="B13" s="13" t="s">
        <v>40</v>
      </c>
      <c r="C13" s="13" t="s">
        <v>265</v>
      </c>
      <c r="D13" s="13">
        <v>273713</v>
      </c>
      <c r="E13" s="13" t="s">
        <v>17</v>
      </c>
      <c r="F13" s="13" t="s">
        <v>266</v>
      </c>
      <c r="G13" s="13" t="s">
        <v>19</v>
      </c>
      <c r="H13" s="13" t="s">
        <v>20</v>
      </c>
      <c r="I13" s="14">
        <v>45717</v>
      </c>
      <c r="J13" s="14">
        <v>45722</v>
      </c>
      <c r="K13" s="15">
        <v>8300</v>
      </c>
      <c r="L13" s="53"/>
      <c r="M13" s="13"/>
    </row>
    <row r="14" spans="1:13" x14ac:dyDescent="0.25">
      <c r="A14" s="13">
        <v>7</v>
      </c>
      <c r="B14" s="13" t="s">
        <v>40</v>
      </c>
      <c r="C14" s="13" t="s">
        <v>287</v>
      </c>
      <c r="D14" s="13">
        <v>273978</v>
      </c>
      <c r="E14" s="13" t="s">
        <v>17</v>
      </c>
      <c r="F14" s="13" t="s">
        <v>288</v>
      </c>
      <c r="G14" s="13" t="s">
        <v>19</v>
      </c>
      <c r="H14" s="13" t="s">
        <v>20</v>
      </c>
      <c r="I14" s="14">
        <v>45315</v>
      </c>
      <c r="J14" s="14">
        <v>45724</v>
      </c>
      <c r="K14" s="15">
        <v>23000</v>
      </c>
      <c r="L14" s="53"/>
      <c r="M14" s="13"/>
    </row>
    <row r="15" spans="1:13" x14ac:dyDescent="0.25">
      <c r="A15" s="13">
        <v>8</v>
      </c>
      <c r="B15" s="18" t="s">
        <v>16</v>
      </c>
      <c r="C15" s="18" t="s">
        <v>331</v>
      </c>
      <c r="D15" s="18">
        <v>274810</v>
      </c>
      <c r="E15" s="18" t="s">
        <v>36</v>
      </c>
      <c r="F15" s="18" t="s">
        <v>332</v>
      </c>
      <c r="G15" s="18" t="s">
        <v>24</v>
      </c>
      <c r="H15" s="18" t="s">
        <v>20</v>
      </c>
      <c r="I15" s="19">
        <v>45729</v>
      </c>
      <c r="J15" s="19">
        <v>45730</v>
      </c>
      <c r="K15" s="20">
        <v>30000</v>
      </c>
      <c r="L15" s="52" t="s">
        <v>220</v>
      </c>
      <c r="M15" s="18"/>
    </row>
    <row r="16" spans="1:13" x14ac:dyDescent="0.25">
      <c r="A16" s="13">
        <v>9</v>
      </c>
      <c r="B16" s="18" t="s">
        <v>16</v>
      </c>
      <c r="C16" s="18" t="s">
        <v>333</v>
      </c>
      <c r="D16" s="18">
        <v>275027</v>
      </c>
      <c r="E16" s="18" t="s">
        <v>17</v>
      </c>
      <c r="F16" s="18" t="s">
        <v>334</v>
      </c>
      <c r="G16" s="18" t="s">
        <v>19</v>
      </c>
      <c r="H16" s="18" t="s">
        <v>20</v>
      </c>
      <c r="I16" s="19">
        <v>45732</v>
      </c>
      <c r="J16" s="19">
        <v>45733</v>
      </c>
      <c r="K16" s="20">
        <v>28500</v>
      </c>
      <c r="L16" s="52"/>
      <c r="M16" s="18"/>
    </row>
    <row r="17" spans="1:13" x14ac:dyDescent="0.25">
      <c r="A17" s="13">
        <v>10</v>
      </c>
      <c r="B17" s="18" t="s">
        <v>31</v>
      </c>
      <c r="C17" s="18" t="s">
        <v>335</v>
      </c>
      <c r="D17" s="18">
        <v>275091</v>
      </c>
      <c r="E17" s="18" t="s">
        <v>36</v>
      </c>
      <c r="F17" s="18" t="s">
        <v>332</v>
      </c>
      <c r="G17" s="18" t="s">
        <v>19</v>
      </c>
      <c r="H17" s="18" t="s">
        <v>20</v>
      </c>
      <c r="I17" s="19">
        <v>45732</v>
      </c>
      <c r="J17" s="19">
        <v>45733</v>
      </c>
      <c r="K17" s="20">
        <v>25000</v>
      </c>
      <c r="L17" s="52"/>
      <c r="M17" s="18"/>
    </row>
    <row r="18" spans="1:13" x14ac:dyDescent="0.25">
      <c r="A18" s="13">
        <v>11</v>
      </c>
      <c r="B18" s="13" t="s">
        <v>31</v>
      </c>
      <c r="C18" s="13" t="s">
        <v>336</v>
      </c>
      <c r="D18" s="13">
        <v>275184</v>
      </c>
      <c r="E18" s="13" t="s">
        <v>36</v>
      </c>
      <c r="F18" s="13" t="s">
        <v>337</v>
      </c>
      <c r="G18" s="13" t="s">
        <v>24</v>
      </c>
      <c r="H18" s="13" t="s">
        <v>20</v>
      </c>
      <c r="I18" s="14">
        <v>45733</v>
      </c>
      <c r="J18" s="14" t="s">
        <v>338</v>
      </c>
      <c r="K18" s="15">
        <v>38000</v>
      </c>
      <c r="L18" s="53"/>
      <c r="M18" s="13"/>
    </row>
    <row r="19" spans="1:13" x14ac:dyDescent="0.25">
      <c r="A19" s="13">
        <v>12</v>
      </c>
      <c r="B19" s="18" t="s">
        <v>40</v>
      </c>
      <c r="C19" s="18" t="s">
        <v>343</v>
      </c>
      <c r="D19" s="18">
        <v>275633</v>
      </c>
      <c r="E19" s="18" t="s">
        <v>344</v>
      </c>
      <c r="F19" s="18" t="s">
        <v>345</v>
      </c>
      <c r="G19" s="18" t="s">
        <v>19</v>
      </c>
      <c r="H19" s="18" t="s">
        <v>25</v>
      </c>
      <c r="I19" s="19">
        <v>45735</v>
      </c>
      <c r="J19" s="19">
        <v>45735</v>
      </c>
      <c r="K19" s="20">
        <v>100</v>
      </c>
      <c r="L19" s="52"/>
      <c r="M19" s="18"/>
    </row>
    <row r="20" spans="1:13" x14ac:dyDescent="0.25">
      <c r="A20" s="13">
        <v>13</v>
      </c>
      <c r="B20" s="18" t="s">
        <v>40</v>
      </c>
      <c r="C20" s="18" t="s">
        <v>346</v>
      </c>
      <c r="D20" s="18">
        <v>276012</v>
      </c>
      <c r="E20" s="18" t="s">
        <v>33</v>
      </c>
      <c r="F20" s="18" t="s">
        <v>347</v>
      </c>
      <c r="G20" s="18" t="s">
        <v>19</v>
      </c>
      <c r="H20" s="18" t="s">
        <v>20</v>
      </c>
      <c r="I20" s="19">
        <v>45717</v>
      </c>
      <c r="J20" s="19">
        <v>45738</v>
      </c>
      <c r="K20" s="20">
        <v>32000</v>
      </c>
      <c r="L20" s="52"/>
      <c r="M20" s="18"/>
    </row>
    <row r="21" spans="1:13" x14ac:dyDescent="0.25">
      <c r="A21" s="13">
        <v>14</v>
      </c>
      <c r="B21" s="18" t="s">
        <v>16</v>
      </c>
      <c r="C21" s="18" t="s">
        <v>348</v>
      </c>
      <c r="D21" s="18">
        <v>276138</v>
      </c>
      <c r="E21" s="18" t="s">
        <v>36</v>
      </c>
      <c r="F21" s="18" t="s">
        <v>349</v>
      </c>
      <c r="G21" s="18" t="s">
        <v>19</v>
      </c>
      <c r="H21" s="18" t="s">
        <v>20</v>
      </c>
      <c r="I21" s="19">
        <v>45736</v>
      </c>
      <c r="J21" s="19">
        <v>45740</v>
      </c>
      <c r="K21" s="20">
        <v>85000</v>
      </c>
      <c r="L21" s="52" t="s">
        <v>220</v>
      </c>
      <c r="M21" s="18"/>
    </row>
    <row r="22" spans="1:13" x14ac:dyDescent="0.25">
      <c r="A22" s="13">
        <v>15</v>
      </c>
      <c r="B22" s="18" t="s">
        <v>16</v>
      </c>
      <c r="C22" s="18" t="s">
        <v>350</v>
      </c>
      <c r="D22" s="18">
        <v>276094</v>
      </c>
      <c r="E22" s="18" t="s">
        <v>36</v>
      </c>
      <c r="F22" s="18" t="s">
        <v>351</v>
      </c>
      <c r="G22" s="18" t="s">
        <v>19</v>
      </c>
      <c r="H22" s="18" t="s">
        <v>20</v>
      </c>
      <c r="I22" s="19">
        <v>45737</v>
      </c>
      <c r="J22" s="19">
        <v>45740</v>
      </c>
      <c r="K22" s="20">
        <v>46000</v>
      </c>
      <c r="L22" s="52" t="s">
        <v>352</v>
      </c>
      <c r="M22" s="18"/>
    </row>
    <row r="23" spans="1:13" x14ac:dyDescent="0.25">
      <c r="A23" s="13">
        <v>16</v>
      </c>
      <c r="B23" s="18" t="s">
        <v>122</v>
      </c>
      <c r="C23" s="18" t="s">
        <v>353</v>
      </c>
      <c r="D23" s="18">
        <v>276630</v>
      </c>
      <c r="E23" s="18" t="s">
        <v>360</v>
      </c>
      <c r="F23" s="18" t="s">
        <v>355</v>
      </c>
      <c r="G23" s="18" t="s">
        <v>24</v>
      </c>
      <c r="H23" s="18" t="s">
        <v>25</v>
      </c>
      <c r="I23" s="19">
        <v>45712</v>
      </c>
      <c r="J23" s="19">
        <v>45744</v>
      </c>
      <c r="K23" s="20">
        <v>5000</v>
      </c>
      <c r="L23" s="52" t="s">
        <v>356</v>
      </c>
      <c r="M23" s="18"/>
    </row>
    <row r="24" spans="1:13" x14ac:dyDescent="0.25">
      <c r="A24" s="18">
        <v>17</v>
      </c>
      <c r="B24" s="18" t="s">
        <v>122</v>
      </c>
      <c r="C24" s="18" t="s">
        <v>354</v>
      </c>
      <c r="D24" s="18">
        <v>276743</v>
      </c>
      <c r="E24" s="18" t="s">
        <v>361</v>
      </c>
      <c r="F24" s="18" t="s">
        <v>355</v>
      </c>
      <c r="G24" s="18" t="s">
        <v>24</v>
      </c>
      <c r="H24" s="18" t="s">
        <v>25</v>
      </c>
      <c r="I24" s="19">
        <v>45712</v>
      </c>
      <c r="J24" s="19">
        <v>45744</v>
      </c>
      <c r="K24" s="20">
        <v>6600</v>
      </c>
      <c r="L24" s="52" t="s">
        <v>356</v>
      </c>
      <c r="M24" s="18"/>
    </row>
    <row r="25" spans="1:13" x14ac:dyDescent="0.25">
      <c r="A25" s="18">
        <v>18</v>
      </c>
      <c r="B25" s="18" t="s">
        <v>16</v>
      </c>
      <c r="C25" s="18" t="s">
        <v>357</v>
      </c>
      <c r="D25" s="18">
        <v>276262</v>
      </c>
      <c r="E25" s="18" t="s">
        <v>17</v>
      </c>
      <c r="F25" s="18" t="s">
        <v>362</v>
      </c>
      <c r="G25" s="18" t="s">
        <v>24</v>
      </c>
      <c r="H25" s="18" t="s">
        <v>20</v>
      </c>
      <c r="I25" s="19">
        <v>45737</v>
      </c>
      <c r="J25" s="19">
        <v>45743</v>
      </c>
      <c r="K25" s="20">
        <v>22500</v>
      </c>
      <c r="L25" s="52"/>
      <c r="M25" s="18"/>
    </row>
    <row r="26" spans="1:13" x14ac:dyDescent="0.25">
      <c r="A26" s="18">
        <v>19</v>
      </c>
      <c r="B26" s="18" t="s">
        <v>31</v>
      </c>
      <c r="C26" s="18" t="s">
        <v>358</v>
      </c>
      <c r="D26" s="18">
        <v>276706</v>
      </c>
      <c r="E26" s="18" t="s">
        <v>17</v>
      </c>
      <c r="F26" s="18" t="s">
        <v>359</v>
      </c>
      <c r="G26" s="18" t="s">
        <v>24</v>
      </c>
      <c r="H26" s="18" t="s">
        <v>20</v>
      </c>
      <c r="I26" s="19">
        <v>45741</v>
      </c>
      <c r="J26" s="19">
        <v>45743</v>
      </c>
      <c r="K26" s="20">
        <v>21500</v>
      </c>
      <c r="L26" s="52"/>
      <c r="M26" s="18"/>
    </row>
    <row r="27" spans="1:13" x14ac:dyDescent="0.25">
      <c r="A27" s="18">
        <v>20</v>
      </c>
      <c r="B27" s="18" t="s">
        <v>31</v>
      </c>
      <c r="C27" s="18" t="s">
        <v>363</v>
      </c>
      <c r="D27" s="18">
        <v>276901</v>
      </c>
      <c r="E27" s="18" t="s">
        <v>36</v>
      </c>
      <c r="F27" s="18" t="s">
        <v>364</v>
      </c>
      <c r="G27" s="18" t="s">
        <v>19</v>
      </c>
      <c r="H27" s="18" t="s">
        <v>20</v>
      </c>
      <c r="I27" s="19">
        <v>45742</v>
      </c>
      <c r="J27" s="19">
        <v>45744</v>
      </c>
      <c r="K27" s="20">
        <v>55000</v>
      </c>
      <c r="L27" s="52"/>
      <c r="M27" s="18"/>
    </row>
    <row r="28" spans="1:13" x14ac:dyDescent="0.25">
      <c r="A28" s="18">
        <v>21</v>
      </c>
      <c r="B28" s="18" t="s">
        <v>16</v>
      </c>
      <c r="C28" s="18" t="s">
        <v>365</v>
      </c>
      <c r="D28" s="18">
        <v>276995</v>
      </c>
      <c r="E28" s="18" t="s">
        <v>17</v>
      </c>
      <c r="F28" s="18" t="s">
        <v>366</v>
      </c>
      <c r="G28" s="18" t="s">
        <v>24</v>
      </c>
      <c r="H28" s="18" t="s">
        <v>20</v>
      </c>
      <c r="I28" s="19">
        <v>45742</v>
      </c>
      <c r="J28" s="19">
        <v>45744</v>
      </c>
      <c r="K28" s="20">
        <v>23000</v>
      </c>
      <c r="L28" s="52"/>
      <c r="M28" s="18"/>
    </row>
  </sheetData>
  <mergeCells count="2">
    <mergeCell ref="A3:M3"/>
    <mergeCell ref="A7:M7"/>
  </mergeCells>
  <pageMargins left="0.7" right="0.7" top="0.75" bottom="0.75" header="0.3" footer="0.3"/>
  <pageSetup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6842-1EC1-45D3-9A50-C4447C986C1E}">
  <sheetPr>
    <tabColor rgb="FFFEDEF7"/>
  </sheetPr>
  <dimension ref="A2:M22"/>
  <sheetViews>
    <sheetView topLeftCell="A4" workbookViewId="0">
      <selection activeCell="B16" sqref="B16:H16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5.75" x14ac:dyDescent="0.25">
      <c r="A7" s="229" t="s">
        <v>71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3" x14ac:dyDescent="0.25">
      <c r="A8" s="13">
        <v>1</v>
      </c>
      <c r="B8" s="13" t="s">
        <v>31</v>
      </c>
      <c r="C8" s="18" t="s">
        <v>372</v>
      </c>
      <c r="D8" s="13">
        <v>278878</v>
      </c>
      <c r="E8" s="13" t="s">
        <v>114</v>
      </c>
      <c r="F8" s="13" t="s">
        <v>373</v>
      </c>
      <c r="G8" s="13" t="s">
        <v>19</v>
      </c>
      <c r="H8" s="13" t="s">
        <v>25</v>
      </c>
      <c r="I8" s="14">
        <v>45757</v>
      </c>
      <c r="J8" s="14">
        <v>45757</v>
      </c>
      <c r="K8" s="15">
        <v>150</v>
      </c>
      <c r="L8" s="82"/>
      <c r="M8" s="15"/>
    </row>
    <row r="9" spans="1:13" x14ac:dyDescent="0.25">
      <c r="A9" s="13">
        <v>2</v>
      </c>
      <c r="B9" s="13" t="s">
        <v>368</v>
      </c>
      <c r="C9" s="13" t="s">
        <v>374</v>
      </c>
      <c r="D9" s="13">
        <v>278854</v>
      </c>
      <c r="E9" s="13" t="s">
        <v>17</v>
      </c>
      <c r="F9" s="13" t="s">
        <v>108</v>
      </c>
      <c r="G9" s="13" t="s">
        <v>24</v>
      </c>
      <c r="H9" s="13" t="s">
        <v>20</v>
      </c>
      <c r="I9" s="14">
        <v>45752</v>
      </c>
      <c r="J9" s="14">
        <v>45761</v>
      </c>
      <c r="K9" s="15">
        <v>14000</v>
      </c>
      <c r="L9" s="82"/>
      <c r="M9" s="13"/>
    </row>
    <row r="10" spans="1:13" x14ac:dyDescent="0.25">
      <c r="A10" s="13">
        <v>3</v>
      </c>
      <c r="B10" s="13" t="s">
        <v>368</v>
      </c>
      <c r="C10" s="13" t="s">
        <v>375</v>
      </c>
      <c r="D10" s="13">
        <v>279565</v>
      </c>
      <c r="E10" s="13" t="s">
        <v>33</v>
      </c>
      <c r="F10" s="13" t="s">
        <v>376</v>
      </c>
      <c r="G10" s="13" t="s">
        <v>19</v>
      </c>
      <c r="H10" s="13" t="s">
        <v>20</v>
      </c>
      <c r="I10" s="14">
        <v>45759</v>
      </c>
      <c r="J10" s="14">
        <v>45768</v>
      </c>
      <c r="K10" s="15">
        <v>43000</v>
      </c>
      <c r="L10" s="53" t="s">
        <v>377</v>
      </c>
      <c r="M10" s="13"/>
    </row>
    <row r="11" spans="1:13" x14ac:dyDescent="0.25">
      <c r="A11" s="13">
        <v>4</v>
      </c>
      <c r="B11" s="13" t="s">
        <v>378</v>
      </c>
      <c r="C11" s="13" t="s">
        <v>379</v>
      </c>
      <c r="D11" s="13">
        <v>279743</v>
      </c>
      <c r="E11" s="13" t="s">
        <v>17</v>
      </c>
      <c r="F11" s="13" t="s">
        <v>67</v>
      </c>
      <c r="G11" s="13" t="s">
        <v>24</v>
      </c>
      <c r="H11" s="13" t="s">
        <v>20</v>
      </c>
      <c r="I11" s="14">
        <v>45763</v>
      </c>
      <c r="J11" s="14">
        <v>45768</v>
      </c>
      <c r="K11" s="15">
        <v>16000</v>
      </c>
      <c r="L11" s="53" t="s">
        <v>199</v>
      </c>
      <c r="M11" s="13"/>
    </row>
    <row r="12" spans="1:13" x14ac:dyDescent="0.25">
      <c r="A12" s="13">
        <v>5</v>
      </c>
      <c r="B12" s="13" t="s">
        <v>380</v>
      </c>
      <c r="C12" s="13" t="s">
        <v>381</v>
      </c>
      <c r="D12" s="13">
        <v>279976</v>
      </c>
      <c r="E12" s="13" t="s">
        <v>36</v>
      </c>
      <c r="F12" s="13" t="s">
        <v>382</v>
      </c>
      <c r="G12" s="13" t="s">
        <v>24</v>
      </c>
      <c r="H12" s="13" t="s">
        <v>20</v>
      </c>
      <c r="I12" s="14">
        <v>45769</v>
      </c>
      <c r="J12" s="14">
        <v>45770</v>
      </c>
      <c r="K12" s="15">
        <v>33000</v>
      </c>
      <c r="L12" s="53"/>
      <c r="M12" s="13"/>
    </row>
    <row r="13" spans="1:13" x14ac:dyDescent="0.25">
      <c r="A13" s="13">
        <v>6</v>
      </c>
      <c r="B13" s="13" t="s">
        <v>368</v>
      </c>
      <c r="C13" s="13" t="s">
        <v>383</v>
      </c>
      <c r="D13" s="13">
        <v>280218</v>
      </c>
      <c r="E13" s="13" t="s">
        <v>36</v>
      </c>
      <c r="F13" s="13" t="s">
        <v>384</v>
      </c>
      <c r="G13" s="13" t="s">
        <v>19</v>
      </c>
      <c r="H13" s="13" t="s">
        <v>20</v>
      </c>
      <c r="I13" s="14">
        <v>45770</v>
      </c>
      <c r="J13" s="14">
        <v>45771</v>
      </c>
      <c r="K13" s="15">
        <v>25000</v>
      </c>
      <c r="L13" s="53"/>
      <c r="M13" s="13"/>
    </row>
    <row r="14" spans="1:13" x14ac:dyDescent="0.25">
      <c r="A14" s="13">
        <v>7</v>
      </c>
      <c r="B14" s="13" t="s">
        <v>380</v>
      </c>
      <c r="C14" s="13" t="s">
        <v>385</v>
      </c>
      <c r="D14" s="13">
        <v>280237</v>
      </c>
      <c r="E14" s="13" t="s">
        <v>36</v>
      </c>
      <c r="F14" s="13" t="s">
        <v>386</v>
      </c>
      <c r="G14" s="13" t="s">
        <v>24</v>
      </c>
      <c r="H14" s="13" t="s">
        <v>20</v>
      </c>
      <c r="I14" s="14">
        <v>45770</v>
      </c>
      <c r="J14" s="14">
        <v>45771</v>
      </c>
      <c r="K14" s="15">
        <v>59500</v>
      </c>
      <c r="L14" s="53"/>
      <c r="M14" s="13"/>
    </row>
    <row r="15" spans="1:13" x14ac:dyDescent="0.25">
      <c r="A15" s="13">
        <v>8</v>
      </c>
      <c r="B15" s="18" t="s">
        <v>387</v>
      </c>
      <c r="C15" s="18" t="s">
        <v>388</v>
      </c>
      <c r="D15" s="18">
        <v>280284</v>
      </c>
      <c r="E15" s="18" t="s">
        <v>17</v>
      </c>
      <c r="F15" s="85" t="s">
        <v>389</v>
      </c>
      <c r="G15" s="18" t="s">
        <v>19</v>
      </c>
      <c r="H15" s="18" t="s">
        <v>20</v>
      </c>
      <c r="I15" s="19">
        <v>45769</v>
      </c>
      <c r="J15" s="19">
        <v>45771</v>
      </c>
      <c r="K15" s="20">
        <v>18000</v>
      </c>
      <c r="L15" s="52"/>
      <c r="M15" s="18"/>
    </row>
    <row r="16" spans="1:13" x14ac:dyDescent="0.25">
      <c r="A16" s="13">
        <v>9</v>
      </c>
      <c r="B16" s="18" t="s">
        <v>378</v>
      </c>
      <c r="C16" s="18" t="s">
        <v>390</v>
      </c>
      <c r="D16" s="18">
        <v>280311</v>
      </c>
      <c r="E16" s="18" t="s">
        <v>36</v>
      </c>
      <c r="F16" s="18" t="s">
        <v>391</v>
      </c>
      <c r="G16" s="18" t="s">
        <v>24</v>
      </c>
      <c r="H16" s="18" t="s">
        <v>20</v>
      </c>
      <c r="I16" s="19">
        <v>45770</v>
      </c>
      <c r="J16" s="19">
        <v>45771</v>
      </c>
      <c r="K16" s="20">
        <v>60000</v>
      </c>
      <c r="L16" s="52"/>
      <c r="M16" s="18"/>
    </row>
    <row r="17" spans="1:13" x14ac:dyDescent="0.25">
      <c r="A17" s="13">
        <v>10</v>
      </c>
      <c r="B17" s="18" t="s">
        <v>387</v>
      </c>
      <c r="C17" s="18" t="s">
        <v>392</v>
      </c>
      <c r="D17" s="18">
        <v>280338</v>
      </c>
      <c r="E17" s="18" t="s">
        <v>17</v>
      </c>
      <c r="F17" s="18" t="s">
        <v>393</v>
      </c>
      <c r="G17" s="18" t="s">
        <v>19</v>
      </c>
      <c r="H17" s="18" t="s">
        <v>20</v>
      </c>
      <c r="I17" s="19">
        <v>45769</v>
      </c>
      <c r="J17" s="19">
        <v>45771</v>
      </c>
      <c r="K17" s="20">
        <v>18000</v>
      </c>
      <c r="L17" s="52"/>
      <c r="M17" s="18"/>
    </row>
    <row r="18" spans="1:13" x14ac:dyDescent="0.25">
      <c r="A18" s="13">
        <v>11</v>
      </c>
      <c r="B18" s="13" t="s">
        <v>380</v>
      </c>
      <c r="C18" s="13" t="s">
        <v>394</v>
      </c>
      <c r="D18" s="13">
        <v>280687</v>
      </c>
      <c r="E18" s="13" t="s">
        <v>42</v>
      </c>
      <c r="F18" s="13" t="s">
        <v>395</v>
      </c>
      <c r="G18" s="13" t="s">
        <v>19</v>
      </c>
      <c r="H18" s="13" t="s">
        <v>20</v>
      </c>
      <c r="I18" s="14">
        <v>45775</v>
      </c>
      <c r="J18" s="14">
        <v>45775</v>
      </c>
      <c r="K18" s="15">
        <v>15500</v>
      </c>
      <c r="L18" s="53"/>
      <c r="M18" s="13"/>
    </row>
    <row r="19" spans="1:13" x14ac:dyDescent="0.25">
      <c r="A19" s="13">
        <v>12</v>
      </c>
      <c r="B19" s="18" t="s">
        <v>380</v>
      </c>
      <c r="C19" s="18" t="s">
        <v>396</v>
      </c>
      <c r="D19" s="18">
        <v>280854</v>
      </c>
      <c r="E19" s="18" t="s">
        <v>36</v>
      </c>
      <c r="F19" s="18" t="s">
        <v>382</v>
      </c>
      <c r="G19" s="18" t="s">
        <v>24</v>
      </c>
      <c r="H19" s="18" t="s">
        <v>20</v>
      </c>
      <c r="I19" s="19">
        <v>45775</v>
      </c>
      <c r="J19" s="19">
        <v>45776</v>
      </c>
      <c r="K19" s="20">
        <v>40000</v>
      </c>
      <c r="L19" s="52"/>
      <c r="M19" s="18"/>
    </row>
    <row r="20" spans="1:13" x14ac:dyDescent="0.25">
      <c r="A20" s="13">
        <v>13</v>
      </c>
      <c r="B20" s="18" t="s">
        <v>368</v>
      </c>
      <c r="C20" s="18" t="s">
        <v>397</v>
      </c>
      <c r="D20" s="18">
        <v>280802</v>
      </c>
      <c r="E20" s="18" t="s">
        <v>398</v>
      </c>
      <c r="F20" s="18" t="s">
        <v>399</v>
      </c>
      <c r="G20" s="18" t="s">
        <v>19</v>
      </c>
      <c r="H20" s="18" t="s">
        <v>20</v>
      </c>
      <c r="I20" s="19">
        <v>45772</v>
      </c>
      <c r="J20" s="19">
        <v>45776</v>
      </c>
      <c r="K20" s="20">
        <v>86000</v>
      </c>
      <c r="L20" s="52" t="s">
        <v>400</v>
      </c>
      <c r="M20" s="18"/>
    </row>
    <row r="21" spans="1:13" x14ac:dyDescent="0.25">
      <c r="A21" s="13">
        <v>14</v>
      </c>
      <c r="B21" s="18" t="s">
        <v>40</v>
      </c>
      <c r="C21" s="18" t="s">
        <v>401</v>
      </c>
      <c r="D21" s="18">
        <v>280964</v>
      </c>
      <c r="E21" s="18" t="s">
        <v>33</v>
      </c>
      <c r="F21" s="18" t="s">
        <v>402</v>
      </c>
      <c r="G21" s="18" t="s">
        <v>24</v>
      </c>
      <c r="H21" s="18" t="s">
        <v>20</v>
      </c>
      <c r="I21" s="19">
        <v>45772</v>
      </c>
      <c r="J21" s="19">
        <v>45776</v>
      </c>
      <c r="K21" s="20">
        <v>45000</v>
      </c>
      <c r="L21" s="52"/>
      <c r="M21" s="18"/>
    </row>
    <row r="22" spans="1:13" x14ac:dyDescent="0.25">
      <c r="A22" s="13">
        <v>15</v>
      </c>
      <c r="B22" s="18" t="s">
        <v>31</v>
      </c>
      <c r="C22" s="18" t="s">
        <v>403</v>
      </c>
      <c r="D22" s="18">
        <v>280994</v>
      </c>
      <c r="E22" s="18" t="s">
        <v>93</v>
      </c>
      <c r="F22" s="18" t="s">
        <v>404</v>
      </c>
      <c r="G22" s="18" t="s">
        <v>24</v>
      </c>
      <c r="H22" s="18" t="s">
        <v>20</v>
      </c>
      <c r="I22" s="19">
        <v>45776</v>
      </c>
      <c r="J22" s="19">
        <v>45776</v>
      </c>
      <c r="K22" s="20">
        <v>25000</v>
      </c>
      <c r="L22" s="52"/>
      <c r="M22" s="18"/>
    </row>
  </sheetData>
  <mergeCells count="2">
    <mergeCell ref="A3:M3"/>
    <mergeCell ref="A7:M7"/>
  </mergeCells>
  <pageMargins left="0.7" right="0.7" top="0.75" bottom="0.75" header="0.3" footer="0.3"/>
  <pageSetup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B0DD-6630-464B-9EB9-82B42FEEC75B}">
  <sheetPr>
    <tabColor rgb="FFFEDEF7"/>
  </sheetPr>
  <dimension ref="A2:M26"/>
  <sheetViews>
    <sheetView workbookViewId="0">
      <selection activeCell="C26" sqref="C26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6.42578125" bestFit="1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5.75" x14ac:dyDescent="0.25">
      <c r="A7" s="229" t="s">
        <v>87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3" x14ac:dyDescent="0.25">
      <c r="A8" s="13">
        <v>1</v>
      </c>
      <c r="B8" s="13" t="s">
        <v>380</v>
      </c>
      <c r="C8" s="18" t="s">
        <v>405</v>
      </c>
      <c r="D8" s="13">
        <v>281742</v>
      </c>
      <c r="E8" s="13" t="s">
        <v>17</v>
      </c>
      <c r="F8" s="13" t="s">
        <v>406</v>
      </c>
      <c r="G8" s="13" t="s">
        <v>24</v>
      </c>
      <c r="H8" s="13" t="s">
        <v>20</v>
      </c>
      <c r="I8" s="14">
        <v>45779</v>
      </c>
      <c r="J8" s="14">
        <v>45782</v>
      </c>
      <c r="K8" s="15">
        <v>22000</v>
      </c>
      <c r="L8" s="82"/>
      <c r="M8" s="15"/>
    </row>
    <row r="9" spans="1:13" x14ac:dyDescent="0.25">
      <c r="A9" s="18">
        <v>2</v>
      </c>
      <c r="B9" s="18" t="s">
        <v>16</v>
      </c>
      <c r="C9" s="18" t="s">
        <v>410</v>
      </c>
      <c r="D9" s="18">
        <v>281774</v>
      </c>
      <c r="E9" s="18" t="s">
        <v>33</v>
      </c>
      <c r="F9" s="18" t="s">
        <v>253</v>
      </c>
      <c r="G9" s="18" t="s">
        <v>24</v>
      </c>
      <c r="H9" s="18" t="s">
        <v>20</v>
      </c>
      <c r="I9" s="19">
        <v>45781</v>
      </c>
      <c r="J9" s="19">
        <v>45784</v>
      </c>
      <c r="K9" s="20">
        <v>75000</v>
      </c>
      <c r="L9" s="157" t="s">
        <v>411</v>
      </c>
      <c r="M9" s="18"/>
    </row>
    <row r="10" spans="1:13" x14ac:dyDescent="0.25">
      <c r="A10" s="18">
        <v>3</v>
      </c>
      <c r="B10" s="18" t="s">
        <v>387</v>
      </c>
      <c r="C10" s="18" t="s">
        <v>412</v>
      </c>
      <c r="D10" s="18">
        <v>282563</v>
      </c>
      <c r="E10" s="18" t="s">
        <v>33</v>
      </c>
      <c r="F10" s="18" t="s">
        <v>413</v>
      </c>
      <c r="G10" s="18" t="s">
        <v>19</v>
      </c>
      <c r="H10" s="18" t="s">
        <v>20</v>
      </c>
      <c r="I10" s="19">
        <v>45786</v>
      </c>
      <c r="J10" s="19">
        <v>45790</v>
      </c>
      <c r="K10" s="20">
        <v>28000</v>
      </c>
      <c r="L10" s="52" t="s">
        <v>414</v>
      </c>
      <c r="M10" s="18"/>
    </row>
    <row r="11" spans="1:13" x14ac:dyDescent="0.25">
      <c r="A11" s="18">
        <v>4</v>
      </c>
      <c r="B11" s="18" t="s">
        <v>380</v>
      </c>
      <c r="C11" s="18" t="s">
        <v>415</v>
      </c>
      <c r="D11" s="18">
        <v>282713</v>
      </c>
      <c r="E11" s="18" t="s">
        <v>416</v>
      </c>
      <c r="F11" s="18" t="s">
        <v>426</v>
      </c>
      <c r="G11" s="18" t="s">
        <v>24</v>
      </c>
      <c r="H11" s="18" t="s">
        <v>20</v>
      </c>
      <c r="I11" s="19">
        <v>45789</v>
      </c>
      <c r="J11" s="19">
        <v>45790</v>
      </c>
      <c r="K11" s="20">
        <v>35000</v>
      </c>
      <c r="L11" s="52"/>
      <c r="M11" s="18"/>
    </row>
    <row r="12" spans="1:13" x14ac:dyDescent="0.25">
      <c r="A12" s="18">
        <v>5</v>
      </c>
      <c r="B12" s="18" t="s">
        <v>380</v>
      </c>
      <c r="C12" s="18" t="s">
        <v>418</v>
      </c>
      <c r="D12" s="18">
        <v>282937</v>
      </c>
      <c r="E12" s="18" t="s">
        <v>17</v>
      </c>
      <c r="F12" s="18" t="s">
        <v>406</v>
      </c>
      <c r="G12" s="18" t="s">
        <v>24</v>
      </c>
      <c r="H12" s="18" t="s">
        <v>20</v>
      </c>
      <c r="I12" s="19">
        <v>45789</v>
      </c>
      <c r="J12" s="19">
        <v>45792</v>
      </c>
      <c r="K12" s="20">
        <v>15000</v>
      </c>
      <c r="L12" s="52" t="s">
        <v>419</v>
      </c>
      <c r="M12" s="18"/>
    </row>
    <row r="13" spans="1:13" x14ac:dyDescent="0.25">
      <c r="A13" s="18">
        <v>6</v>
      </c>
      <c r="B13" s="18" t="s">
        <v>16</v>
      </c>
      <c r="C13" s="18" t="s">
        <v>420</v>
      </c>
      <c r="D13" s="18">
        <v>281171</v>
      </c>
      <c r="E13" s="18" t="s">
        <v>17</v>
      </c>
      <c r="F13" s="18" t="s">
        <v>188</v>
      </c>
      <c r="G13" s="18" t="s">
        <v>19</v>
      </c>
      <c r="H13" s="18" t="s">
        <v>20</v>
      </c>
      <c r="I13" s="19">
        <v>45791</v>
      </c>
      <c r="J13" s="19">
        <v>45792</v>
      </c>
      <c r="K13" s="20">
        <v>20000</v>
      </c>
      <c r="L13" s="52" t="s">
        <v>421</v>
      </c>
      <c r="M13" s="18"/>
    </row>
    <row r="14" spans="1:13" x14ac:dyDescent="0.25">
      <c r="A14" s="18">
        <v>7</v>
      </c>
      <c r="B14" s="18" t="s">
        <v>16</v>
      </c>
      <c r="C14" s="18" t="s">
        <v>422</v>
      </c>
      <c r="D14" s="18">
        <v>283201</v>
      </c>
      <c r="E14" s="18" t="s">
        <v>36</v>
      </c>
      <c r="F14" s="18" t="s">
        <v>423</v>
      </c>
      <c r="G14" s="18" t="s">
        <v>24</v>
      </c>
      <c r="H14" s="18" t="s">
        <v>20</v>
      </c>
      <c r="I14" s="19">
        <v>45793</v>
      </c>
      <c r="J14" s="19">
        <v>45796</v>
      </c>
      <c r="K14" s="20">
        <v>22000</v>
      </c>
      <c r="L14" s="52" t="s">
        <v>254</v>
      </c>
      <c r="M14" s="18"/>
    </row>
    <row r="15" spans="1:13" x14ac:dyDescent="0.25">
      <c r="A15" s="18">
        <v>8</v>
      </c>
      <c r="B15" s="18" t="s">
        <v>16</v>
      </c>
      <c r="C15" s="18" t="s">
        <v>425</v>
      </c>
      <c r="D15" s="18">
        <v>283353</v>
      </c>
      <c r="E15" s="18" t="s">
        <v>17</v>
      </c>
      <c r="F15" s="18" t="s">
        <v>424</v>
      </c>
      <c r="G15" s="18" t="s">
        <v>24</v>
      </c>
      <c r="H15" s="18" t="s">
        <v>20</v>
      </c>
      <c r="I15" s="19">
        <v>45795</v>
      </c>
      <c r="J15" s="19">
        <v>45796</v>
      </c>
      <c r="K15" s="20">
        <v>22000</v>
      </c>
      <c r="L15" s="52"/>
      <c r="M15" s="18"/>
    </row>
    <row r="16" spans="1:13" x14ac:dyDescent="0.25">
      <c r="A16" s="18">
        <v>9</v>
      </c>
      <c r="B16" s="18" t="s">
        <v>122</v>
      </c>
      <c r="C16" s="18" t="s">
        <v>427</v>
      </c>
      <c r="D16" s="18">
        <v>284488</v>
      </c>
      <c r="E16" s="18" t="s">
        <v>93</v>
      </c>
      <c r="F16" s="18" t="s">
        <v>104</v>
      </c>
      <c r="G16" s="18" t="s">
        <v>19</v>
      </c>
      <c r="H16" s="18" t="s">
        <v>25</v>
      </c>
      <c r="I16" s="19">
        <v>45804</v>
      </c>
      <c r="J16" s="19">
        <v>45804</v>
      </c>
      <c r="K16" s="20">
        <v>500</v>
      </c>
      <c r="L16" s="52"/>
      <c r="M16" s="18"/>
    </row>
    <row r="17" spans="1:13" s="164" customFormat="1" x14ac:dyDescent="0.25">
      <c r="A17" s="18">
        <v>10</v>
      </c>
      <c r="B17" s="18" t="s">
        <v>122</v>
      </c>
      <c r="C17" s="18" t="s">
        <v>428</v>
      </c>
      <c r="D17" s="18">
        <v>283735</v>
      </c>
      <c r="E17" s="18" t="s">
        <v>17</v>
      </c>
      <c r="F17" s="18" t="s">
        <v>429</v>
      </c>
      <c r="G17" s="18" t="s">
        <v>19</v>
      </c>
      <c r="H17" s="18" t="s">
        <v>20</v>
      </c>
      <c r="I17" s="19">
        <v>45789</v>
      </c>
      <c r="J17" s="19">
        <v>45807</v>
      </c>
      <c r="K17" s="20">
        <v>35000</v>
      </c>
      <c r="L17" s="52" t="s">
        <v>454</v>
      </c>
      <c r="M17" s="18"/>
    </row>
    <row r="18" spans="1:13" x14ac:dyDescent="0.25">
      <c r="A18" s="18">
        <v>11</v>
      </c>
      <c r="B18" s="18" t="s">
        <v>380</v>
      </c>
      <c r="C18" s="18" t="s">
        <v>430</v>
      </c>
      <c r="D18" s="18">
        <v>283749</v>
      </c>
      <c r="E18" s="18" t="s">
        <v>36</v>
      </c>
      <c r="F18" s="18" t="s">
        <v>431</v>
      </c>
      <c r="G18" s="18" t="s">
        <v>19</v>
      </c>
      <c r="H18" s="18" t="s">
        <v>20</v>
      </c>
      <c r="I18" s="19">
        <v>45797</v>
      </c>
      <c r="J18" s="19">
        <v>45798</v>
      </c>
      <c r="K18" s="20">
        <v>24000</v>
      </c>
      <c r="L18" s="52"/>
      <c r="M18" s="18"/>
    </row>
    <row r="19" spans="1:13" x14ac:dyDescent="0.25">
      <c r="A19" s="18">
        <v>12</v>
      </c>
      <c r="B19" s="18" t="s">
        <v>378</v>
      </c>
      <c r="C19" s="18" t="s">
        <v>432</v>
      </c>
      <c r="D19" s="18">
        <v>283894</v>
      </c>
      <c r="E19" s="18" t="s">
        <v>36</v>
      </c>
      <c r="F19" s="18" t="s">
        <v>433</v>
      </c>
      <c r="G19" s="18" t="s">
        <v>24</v>
      </c>
      <c r="H19" s="18" t="s">
        <v>20</v>
      </c>
      <c r="I19" s="19">
        <v>45798</v>
      </c>
      <c r="J19" s="19">
        <v>45800</v>
      </c>
      <c r="K19" s="20">
        <v>49000</v>
      </c>
      <c r="L19" s="52"/>
      <c r="M19" s="18"/>
    </row>
    <row r="20" spans="1:13" x14ac:dyDescent="0.25">
      <c r="A20" s="18">
        <v>13</v>
      </c>
      <c r="B20" s="18" t="s">
        <v>31</v>
      </c>
      <c r="C20" s="18" t="s">
        <v>434</v>
      </c>
      <c r="D20" s="18">
        <v>284097</v>
      </c>
      <c r="E20" s="18" t="s">
        <v>103</v>
      </c>
      <c r="F20" s="18" t="s">
        <v>146</v>
      </c>
      <c r="G20" s="18" t="s">
        <v>19</v>
      </c>
      <c r="H20" s="18" t="s">
        <v>20</v>
      </c>
      <c r="I20" s="19">
        <v>45799</v>
      </c>
      <c r="J20" s="19">
        <v>45800</v>
      </c>
      <c r="K20" s="20">
        <v>200</v>
      </c>
      <c r="L20" s="52"/>
      <c r="M20" s="18"/>
    </row>
    <row r="21" spans="1:13" x14ac:dyDescent="0.25">
      <c r="A21" s="18">
        <v>14</v>
      </c>
      <c r="B21" s="18" t="s">
        <v>31</v>
      </c>
      <c r="C21" s="18" t="s">
        <v>439</v>
      </c>
      <c r="D21" s="18">
        <v>284892</v>
      </c>
      <c r="E21" s="18" t="s">
        <v>36</v>
      </c>
      <c r="F21" s="18" t="s">
        <v>440</v>
      </c>
      <c r="G21" s="18" t="s">
        <v>19</v>
      </c>
      <c r="H21" s="18" t="s">
        <v>20</v>
      </c>
      <c r="I21" s="19">
        <v>45806</v>
      </c>
      <c r="J21" s="19">
        <v>45806</v>
      </c>
      <c r="K21" s="20">
        <v>6000</v>
      </c>
      <c r="L21" s="52"/>
      <c r="M21" s="18"/>
    </row>
    <row r="22" spans="1:13" x14ac:dyDescent="0.25">
      <c r="A22" s="18">
        <v>15</v>
      </c>
      <c r="B22" s="18" t="s">
        <v>16</v>
      </c>
      <c r="C22" s="18" t="s">
        <v>441</v>
      </c>
      <c r="D22" s="18">
        <v>284874</v>
      </c>
      <c r="E22" s="18" t="s">
        <v>36</v>
      </c>
      <c r="F22" s="18" t="s">
        <v>442</v>
      </c>
      <c r="G22" s="18" t="s">
        <v>24</v>
      </c>
      <c r="H22" s="18" t="s">
        <v>20</v>
      </c>
      <c r="I22" s="19">
        <v>45794</v>
      </c>
      <c r="J22" s="19">
        <v>44346</v>
      </c>
      <c r="K22" s="20">
        <v>45000</v>
      </c>
      <c r="L22" s="52" t="s">
        <v>443</v>
      </c>
      <c r="M22" s="18"/>
    </row>
    <row r="23" spans="1:13" x14ac:dyDescent="0.25">
      <c r="A23" s="18">
        <v>16</v>
      </c>
      <c r="B23" s="18" t="s">
        <v>387</v>
      </c>
      <c r="C23" s="18" t="s">
        <v>444</v>
      </c>
      <c r="D23" s="18">
        <v>284675</v>
      </c>
      <c r="E23" s="18" t="s">
        <v>17</v>
      </c>
      <c r="F23" s="18" t="s">
        <v>445</v>
      </c>
      <c r="G23" s="18" t="s">
        <v>19</v>
      </c>
      <c r="H23" s="18" t="s">
        <v>20</v>
      </c>
      <c r="I23" s="19">
        <v>45799</v>
      </c>
      <c r="J23" s="19">
        <v>45807</v>
      </c>
      <c r="K23" s="20">
        <v>45000</v>
      </c>
      <c r="L23" s="52" t="s">
        <v>446</v>
      </c>
      <c r="M23" s="18"/>
    </row>
    <row r="24" spans="1:13" x14ac:dyDescent="0.25">
      <c r="A24" s="18">
        <v>17</v>
      </c>
      <c r="B24" s="18" t="s">
        <v>31</v>
      </c>
      <c r="C24" s="18" t="s">
        <v>447</v>
      </c>
      <c r="D24" s="18">
        <v>285163</v>
      </c>
      <c r="E24" s="18" t="s">
        <v>17</v>
      </c>
      <c r="F24" s="18" t="s">
        <v>448</v>
      </c>
      <c r="G24" s="18" t="s">
        <v>19</v>
      </c>
      <c r="H24" s="18" t="s">
        <v>20</v>
      </c>
      <c r="I24" s="19">
        <v>45799</v>
      </c>
      <c r="J24" s="19">
        <v>45807</v>
      </c>
      <c r="K24" s="20">
        <v>18000</v>
      </c>
      <c r="L24" s="52"/>
      <c r="M24" s="18"/>
    </row>
    <row r="25" spans="1:13" x14ac:dyDescent="0.25">
      <c r="A25" s="18">
        <v>18</v>
      </c>
      <c r="B25" s="18" t="s">
        <v>31</v>
      </c>
      <c r="C25" s="18" t="s">
        <v>449</v>
      </c>
      <c r="D25" s="18">
        <v>285188</v>
      </c>
      <c r="E25" s="18" t="s">
        <v>129</v>
      </c>
      <c r="F25" s="18" t="s">
        <v>450</v>
      </c>
      <c r="G25" s="18" t="s">
        <v>19</v>
      </c>
      <c r="H25" s="18" t="s">
        <v>20</v>
      </c>
      <c r="I25" s="19">
        <v>45806</v>
      </c>
      <c r="J25" s="19">
        <v>45807</v>
      </c>
      <c r="K25" s="20">
        <v>220000</v>
      </c>
      <c r="L25" s="52" t="s">
        <v>451</v>
      </c>
      <c r="M25" s="18"/>
    </row>
    <row r="26" spans="1:13" x14ac:dyDescent="0.25">
      <c r="A26" s="18">
        <v>19</v>
      </c>
      <c r="B26" s="18" t="s">
        <v>122</v>
      </c>
      <c r="C26" s="18" t="s">
        <v>458</v>
      </c>
      <c r="D26" s="18">
        <v>283733</v>
      </c>
      <c r="E26" s="18" t="s">
        <v>17</v>
      </c>
      <c r="F26" s="18" t="s">
        <v>453</v>
      </c>
      <c r="G26" s="18" t="s">
        <v>19</v>
      </c>
      <c r="H26" s="18" t="s">
        <v>20</v>
      </c>
      <c r="I26" s="19">
        <v>45789</v>
      </c>
      <c r="J26" s="19">
        <v>45807</v>
      </c>
      <c r="K26" s="20">
        <v>36000</v>
      </c>
      <c r="L26" s="52" t="s">
        <v>454</v>
      </c>
      <c r="M26" s="18"/>
    </row>
  </sheetData>
  <mergeCells count="2">
    <mergeCell ref="A3:M3"/>
    <mergeCell ref="A7:M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15C1-39AE-403F-A998-087A23C66BDA}">
  <sheetPr>
    <tabColor rgb="FFFEDEF7"/>
  </sheetPr>
  <dimension ref="A2:M22"/>
  <sheetViews>
    <sheetView workbookViewId="0">
      <selection activeCell="F14" sqref="F14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6.5" thickBot="1" x14ac:dyDescent="0.3">
      <c r="A7" s="203" t="s">
        <v>97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5"/>
    </row>
    <row r="8" spans="1:13" x14ac:dyDescent="0.25">
      <c r="A8" s="36">
        <v>1</v>
      </c>
      <c r="B8" s="36" t="s">
        <v>31</v>
      </c>
      <c r="C8" s="18" t="s">
        <v>459</v>
      </c>
      <c r="D8" s="36">
        <v>285782</v>
      </c>
      <c r="E8" s="36" t="s">
        <v>17</v>
      </c>
      <c r="F8" s="70" t="s">
        <v>460</v>
      </c>
      <c r="G8" s="36" t="s">
        <v>24</v>
      </c>
      <c r="H8" s="36" t="s">
        <v>20</v>
      </c>
      <c r="I8" s="37">
        <v>45810</v>
      </c>
      <c r="J8" s="37">
        <v>45811</v>
      </c>
      <c r="K8" s="38">
        <v>17000</v>
      </c>
      <c r="L8" s="66" t="s">
        <v>437</v>
      </c>
      <c r="M8" s="38"/>
    </row>
    <row r="9" spans="1:13" x14ac:dyDescent="0.25">
      <c r="A9" s="13">
        <v>2</v>
      </c>
      <c r="B9" s="13" t="s">
        <v>16</v>
      </c>
      <c r="C9" s="13" t="s">
        <v>461</v>
      </c>
      <c r="D9" s="13">
        <v>285814</v>
      </c>
      <c r="E9" s="13" t="s">
        <v>36</v>
      </c>
      <c r="F9" s="13" t="s">
        <v>462</v>
      </c>
      <c r="G9" s="13" t="s">
        <v>24</v>
      </c>
      <c r="H9" s="13" t="s">
        <v>20</v>
      </c>
      <c r="I9" s="14">
        <v>45810</v>
      </c>
      <c r="J9" s="14">
        <v>45812</v>
      </c>
      <c r="K9" s="15">
        <v>38000</v>
      </c>
      <c r="L9" s="82" t="s">
        <v>262</v>
      </c>
      <c r="M9" s="13"/>
    </row>
    <row r="10" spans="1:13" x14ac:dyDescent="0.25">
      <c r="A10" s="13">
        <v>3</v>
      </c>
      <c r="B10" s="13" t="s">
        <v>380</v>
      </c>
      <c r="C10" s="13" t="s">
        <v>463</v>
      </c>
      <c r="D10" s="13">
        <v>286418</v>
      </c>
      <c r="E10" s="13" t="s">
        <v>36</v>
      </c>
      <c r="F10" s="13" t="s">
        <v>198</v>
      </c>
      <c r="G10" s="13" t="s">
        <v>24</v>
      </c>
      <c r="H10" s="13" t="s">
        <v>20</v>
      </c>
      <c r="I10" s="14">
        <v>45817</v>
      </c>
      <c r="J10" s="14">
        <v>45817</v>
      </c>
      <c r="K10" s="15">
        <v>35000</v>
      </c>
      <c r="L10" s="53"/>
      <c r="M10" s="13"/>
    </row>
    <row r="11" spans="1:13" x14ac:dyDescent="0.25">
      <c r="A11" s="13">
        <v>4</v>
      </c>
      <c r="B11" s="13" t="s">
        <v>16</v>
      </c>
      <c r="C11" s="13" t="s">
        <v>464</v>
      </c>
      <c r="D11" s="13">
        <v>286483</v>
      </c>
      <c r="E11" s="13" t="s">
        <v>17</v>
      </c>
      <c r="F11" s="13" t="s">
        <v>465</v>
      </c>
      <c r="G11" s="13" t="s">
        <v>19</v>
      </c>
      <c r="H11" s="13" t="s">
        <v>20</v>
      </c>
      <c r="I11" s="14">
        <v>45815</v>
      </c>
      <c r="J11" s="14">
        <v>45818</v>
      </c>
      <c r="K11" s="15">
        <v>27000</v>
      </c>
      <c r="L11" s="53" t="s">
        <v>466</v>
      </c>
      <c r="M11" s="13"/>
    </row>
    <row r="12" spans="1:13" x14ac:dyDescent="0.25">
      <c r="A12" s="13">
        <v>5</v>
      </c>
      <c r="B12" s="13" t="s">
        <v>16</v>
      </c>
      <c r="C12" s="13" t="s">
        <v>467</v>
      </c>
      <c r="D12" s="13">
        <v>286494</v>
      </c>
      <c r="E12" s="13" t="s">
        <v>17</v>
      </c>
      <c r="F12" s="13" t="s">
        <v>468</v>
      </c>
      <c r="G12" s="13" t="s">
        <v>24</v>
      </c>
      <c r="H12" s="13" t="s">
        <v>20</v>
      </c>
      <c r="I12" s="14">
        <v>45811</v>
      </c>
      <c r="J12" s="14">
        <v>45818</v>
      </c>
      <c r="K12" s="15">
        <v>15000</v>
      </c>
      <c r="L12" s="53"/>
      <c r="M12" s="13"/>
    </row>
    <row r="13" spans="1:13" x14ac:dyDescent="0.25">
      <c r="A13" s="13">
        <v>6</v>
      </c>
      <c r="B13" s="13" t="s">
        <v>387</v>
      </c>
      <c r="C13" s="13" t="s">
        <v>470</v>
      </c>
      <c r="D13" s="13">
        <v>287976</v>
      </c>
      <c r="E13" s="13" t="s">
        <v>36</v>
      </c>
      <c r="F13" s="13" t="s">
        <v>471</v>
      </c>
      <c r="G13" s="13" t="s">
        <v>24</v>
      </c>
      <c r="H13" s="13" t="s">
        <v>20</v>
      </c>
      <c r="I13" s="14">
        <v>45826</v>
      </c>
      <c r="J13" s="14">
        <v>45829</v>
      </c>
      <c r="K13" s="15">
        <v>60000</v>
      </c>
      <c r="L13" s="53"/>
      <c r="M13" s="13"/>
    </row>
    <row r="14" spans="1:13" x14ac:dyDescent="0.25">
      <c r="A14" s="13">
        <v>7</v>
      </c>
      <c r="B14" s="13" t="s">
        <v>472</v>
      </c>
      <c r="C14" s="13" t="s">
        <v>473</v>
      </c>
      <c r="D14" s="13">
        <v>288109</v>
      </c>
      <c r="E14" s="13" t="s">
        <v>63</v>
      </c>
      <c r="F14" s="13" t="s">
        <v>404</v>
      </c>
      <c r="G14" s="13" t="s">
        <v>24</v>
      </c>
      <c r="H14" s="13" t="s">
        <v>25</v>
      </c>
      <c r="I14" s="14">
        <v>45829</v>
      </c>
      <c r="J14" s="14">
        <v>45829</v>
      </c>
      <c r="K14" s="15">
        <v>250</v>
      </c>
      <c r="L14" s="53"/>
      <c r="M14" s="13"/>
    </row>
    <row r="15" spans="1:13" x14ac:dyDescent="0.25">
      <c r="A15" s="13">
        <v>8</v>
      </c>
      <c r="B15" s="18" t="s">
        <v>472</v>
      </c>
      <c r="C15" s="18" t="s">
        <v>474</v>
      </c>
      <c r="D15" s="18">
        <v>288178</v>
      </c>
      <c r="E15" s="18" t="s">
        <v>63</v>
      </c>
      <c r="F15" s="18" t="s">
        <v>475</v>
      </c>
      <c r="G15" s="18" t="s">
        <v>19</v>
      </c>
      <c r="H15" s="18" t="s">
        <v>25</v>
      </c>
      <c r="I15" s="19">
        <v>45828</v>
      </c>
      <c r="J15" s="19">
        <v>45831</v>
      </c>
      <c r="K15" s="20">
        <v>200</v>
      </c>
      <c r="L15" s="52" t="s">
        <v>476</v>
      </c>
      <c r="M15" s="18"/>
    </row>
    <row r="16" spans="1:13" x14ac:dyDescent="0.25">
      <c r="A16" s="13">
        <v>9</v>
      </c>
      <c r="B16" s="18" t="s">
        <v>16</v>
      </c>
      <c r="C16" s="18" t="s">
        <v>477</v>
      </c>
      <c r="D16" s="18">
        <v>288156</v>
      </c>
      <c r="E16" s="18" t="s">
        <v>17</v>
      </c>
      <c r="F16" s="18" t="s">
        <v>478</v>
      </c>
      <c r="G16" s="18" t="s">
        <v>24</v>
      </c>
      <c r="H16" s="18" t="s">
        <v>20</v>
      </c>
      <c r="I16" s="19">
        <v>45830</v>
      </c>
      <c r="J16" s="19">
        <v>45834</v>
      </c>
      <c r="K16" s="20">
        <v>17000</v>
      </c>
      <c r="L16" s="52" t="s">
        <v>479</v>
      </c>
      <c r="M16" s="18"/>
    </row>
    <row r="17" spans="1:13" x14ac:dyDescent="0.25">
      <c r="A17" s="13">
        <v>10</v>
      </c>
      <c r="B17" s="18" t="s">
        <v>31</v>
      </c>
      <c r="C17" s="18" t="s">
        <v>480</v>
      </c>
      <c r="D17" s="18">
        <v>288779</v>
      </c>
      <c r="E17" s="18" t="s">
        <v>17</v>
      </c>
      <c r="F17" s="18" t="s">
        <v>359</v>
      </c>
      <c r="G17" s="18" t="s">
        <v>19</v>
      </c>
      <c r="H17" s="18" t="s">
        <v>20</v>
      </c>
      <c r="I17" s="19">
        <v>45831</v>
      </c>
      <c r="J17" s="19">
        <v>45834</v>
      </c>
      <c r="K17" s="20">
        <v>40000</v>
      </c>
      <c r="L17" s="52"/>
      <c r="M17" s="18"/>
    </row>
    <row r="18" spans="1:13" x14ac:dyDescent="0.25">
      <c r="A18" s="13">
        <v>11</v>
      </c>
      <c r="B18" s="13" t="s">
        <v>31</v>
      </c>
      <c r="C18" s="13" t="s">
        <v>483</v>
      </c>
      <c r="D18" s="13">
        <v>288965</v>
      </c>
      <c r="E18" s="13" t="s">
        <v>82</v>
      </c>
      <c r="F18" s="13" t="s">
        <v>102</v>
      </c>
      <c r="G18" s="13" t="s">
        <v>24</v>
      </c>
      <c r="H18" s="13" t="s">
        <v>20</v>
      </c>
      <c r="I18" s="14">
        <v>45823</v>
      </c>
      <c r="J18" s="14">
        <v>45835</v>
      </c>
      <c r="K18" s="15">
        <v>3200000</v>
      </c>
      <c r="L18" s="53"/>
      <c r="M18" s="13"/>
    </row>
    <row r="19" spans="1:13" x14ac:dyDescent="0.25">
      <c r="A19" s="13">
        <v>12</v>
      </c>
      <c r="B19" s="18" t="s">
        <v>31</v>
      </c>
      <c r="C19" s="18" t="s">
        <v>484</v>
      </c>
      <c r="D19" s="18">
        <v>288971</v>
      </c>
      <c r="E19" s="18" t="s">
        <v>63</v>
      </c>
      <c r="F19" s="18" t="s">
        <v>404</v>
      </c>
      <c r="G19" s="18" t="s">
        <v>19</v>
      </c>
      <c r="H19" s="18" t="s">
        <v>25</v>
      </c>
      <c r="I19" s="19">
        <v>45828</v>
      </c>
      <c r="J19" s="19">
        <v>45835</v>
      </c>
      <c r="K19" s="20">
        <v>350</v>
      </c>
      <c r="L19" s="52"/>
      <c r="M19" s="18"/>
    </row>
    <row r="20" spans="1:13" x14ac:dyDescent="0.25">
      <c r="A20" s="13">
        <v>13</v>
      </c>
      <c r="B20" s="18" t="s">
        <v>380</v>
      </c>
      <c r="C20" s="18" t="s">
        <v>485</v>
      </c>
      <c r="D20" s="18">
        <v>288997</v>
      </c>
      <c r="E20" s="18" t="s">
        <v>36</v>
      </c>
      <c r="F20" s="18" t="s">
        <v>486</v>
      </c>
      <c r="G20" s="18" t="s">
        <v>19</v>
      </c>
      <c r="H20" s="18" t="s">
        <v>20</v>
      </c>
      <c r="I20" s="19">
        <v>45834</v>
      </c>
      <c r="J20" s="19">
        <v>45835</v>
      </c>
      <c r="K20" s="20">
        <v>90000</v>
      </c>
      <c r="L20" s="52" t="s">
        <v>199</v>
      </c>
      <c r="M20" s="18"/>
    </row>
    <row r="21" spans="1:13" x14ac:dyDescent="0.25">
      <c r="A21" s="13">
        <v>14</v>
      </c>
      <c r="B21" s="18" t="s">
        <v>31</v>
      </c>
      <c r="C21" s="18" t="s">
        <v>487</v>
      </c>
      <c r="D21" s="18">
        <v>289112</v>
      </c>
      <c r="E21" s="18" t="s">
        <v>129</v>
      </c>
      <c r="F21" s="18" t="s">
        <v>488</v>
      </c>
      <c r="G21" s="18" t="s">
        <v>19</v>
      </c>
      <c r="H21" s="18" t="s">
        <v>20</v>
      </c>
      <c r="I21" s="19">
        <v>45835</v>
      </c>
      <c r="J21" s="19">
        <v>45835</v>
      </c>
      <c r="K21" s="20">
        <v>23000</v>
      </c>
      <c r="L21" s="52" t="s">
        <v>489</v>
      </c>
      <c r="M21" s="18"/>
    </row>
    <row r="22" spans="1:13" x14ac:dyDescent="0.25">
      <c r="A22" s="13">
        <v>15</v>
      </c>
      <c r="B22" s="18" t="s">
        <v>16</v>
      </c>
      <c r="C22" s="18" t="s">
        <v>490</v>
      </c>
      <c r="D22" s="18">
        <v>289567</v>
      </c>
      <c r="E22" s="18" t="s">
        <v>17</v>
      </c>
      <c r="F22" s="18" t="s">
        <v>239</v>
      </c>
      <c r="G22" s="18" t="s">
        <v>19</v>
      </c>
      <c r="H22" s="18" t="s">
        <v>20</v>
      </c>
      <c r="I22" s="19">
        <v>45836</v>
      </c>
      <c r="J22" s="19">
        <v>45838</v>
      </c>
      <c r="K22" s="20">
        <v>14000</v>
      </c>
      <c r="L22" s="52"/>
      <c r="M22" s="18"/>
    </row>
  </sheetData>
  <mergeCells count="2">
    <mergeCell ref="A3:M3"/>
    <mergeCell ref="A7:M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FDC7-386C-483E-BA40-6E5BC68AB974}">
  <sheetPr>
    <tabColor rgb="FFFEDEF7"/>
  </sheetPr>
  <dimension ref="A2:M32"/>
  <sheetViews>
    <sheetView workbookViewId="0">
      <selection activeCell="F18" sqref="F18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5.75" x14ac:dyDescent="0.25">
      <c r="A7" s="229" t="s">
        <v>116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3" x14ac:dyDescent="0.25">
      <c r="A8" s="13">
        <v>1</v>
      </c>
      <c r="B8" s="13" t="s">
        <v>472</v>
      </c>
      <c r="C8" s="18" t="s">
        <v>492</v>
      </c>
      <c r="D8" s="13">
        <v>290330</v>
      </c>
      <c r="E8" s="13" t="s">
        <v>63</v>
      </c>
      <c r="F8" s="13" t="s">
        <v>493</v>
      </c>
      <c r="G8" s="13" t="s">
        <v>19</v>
      </c>
      <c r="H8" s="13" t="s">
        <v>25</v>
      </c>
      <c r="I8" s="14">
        <v>45841</v>
      </c>
      <c r="J8" s="14">
        <v>45841</v>
      </c>
      <c r="K8" s="15">
        <v>500</v>
      </c>
      <c r="L8" s="82"/>
      <c r="M8" s="15"/>
    </row>
    <row r="9" spans="1:13" x14ac:dyDescent="0.25">
      <c r="A9" s="13">
        <v>2</v>
      </c>
      <c r="B9" s="13" t="s">
        <v>31</v>
      </c>
      <c r="C9" s="13" t="s">
        <v>494</v>
      </c>
      <c r="D9" s="13">
        <v>290708</v>
      </c>
      <c r="E9" s="13" t="s">
        <v>101</v>
      </c>
      <c r="F9" s="13" t="s">
        <v>102</v>
      </c>
      <c r="G9" s="13" t="s">
        <v>24</v>
      </c>
      <c r="H9" s="13" t="s">
        <v>20</v>
      </c>
      <c r="I9" s="14">
        <v>44995</v>
      </c>
      <c r="J9" s="14">
        <v>45842</v>
      </c>
      <c r="K9" s="15">
        <v>350000</v>
      </c>
      <c r="L9" s="82"/>
      <c r="M9" s="13"/>
    </row>
    <row r="10" spans="1:13" x14ac:dyDescent="0.25">
      <c r="A10" s="13">
        <v>3</v>
      </c>
      <c r="B10" s="13" t="s">
        <v>380</v>
      </c>
      <c r="C10" s="13" t="s">
        <v>497</v>
      </c>
      <c r="D10" s="13">
        <v>291001</v>
      </c>
      <c r="E10" s="13" t="s">
        <v>63</v>
      </c>
      <c r="F10" s="13" t="s">
        <v>500</v>
      </c>
      <c r="G10" s="13" t="s">
        <v>19</v>
      </c>
      <c r="H10" s="13" t="s">
        <v>20</v>
      </c>
      <c r="I10" s="14">
        <v>45847</v>
      </c>
      <c r="J10" s="14">
        <v>45848</v>
      </c>
      <c r="K10" s="15">
        <v>55000</v>
      </c>
      <c r="L10" s="53"/>
      <c r="M10" s="13"/>
    </row>
    <row r="11" spans="1:13" x14ac:dyDescent="0.25">
      <c r="A11" s="13">
        <v>4</v>
      </c>
      <c r="B11" s="13" t="s">
        <v>380</v>
      </c>
      <c r="C11" s="13" t="s">
        <v>498</v>
      </c>
      <c r="D11" s="13">
        <v>291011</v>
      </c>
      <c r="E11" s="13" t="s">
        <v>63</v>
      </c>
      <c r="F11" s="13" t="s">
        <v>499</v>
      </c>
      <c r="G11" s="13" t="s">
        <v>19</v>
      </c>
      <c r="H11" s="13" t="s">
        <v>20</v>
      </c>
      <c r="I11" s="14">
        <v>45847</v>
      </c>
      <c r="J11" s="14">
        <v>45848</v>
      </c>
      <c r="K11" s="15">
        <v>28000</v>
      </c>
      <c r="L11" s="53"/>
      <c r="M11" s="13"/>
    </row>
    <row r="12" spans="1:13" x14ac:dyDescent="0.25">
      <c r="A12" s="13">
        <v>5</v>
      </c>
      <c r="B12" s="13" t="s">
        <v>16</v>
      </c>
      <c r="C12" s="13" t="s">
        <v>501</v>
      </c>
      <c r="D12" s="13">
        <v>291321</v>
      </c>
      <c r="E12" s="13" t="s">
        <v>33</v>
      </c>
      <c r="F12" s="13" t="s">
        <v>502</v>
      </c>
      <c r="G12" s="13" t="s">
        <v>19</v>
      </c>
      <c r="H12" s="13" t="s">
        <v>20</v>
      </c>
      <c r="I12" s="14">
        <v>45851</v>
      </c>
      <c r="J12" s="14">
        <v>45852</v>
      </c>
      <c r="K12" s="15">
        <v>30000</v>
      </c>
      <c r="L12" s="53" t="s">
        <v>503</v>
      </c>
      <c r="M12" s="13"/>
    </row>
    <row r="13" spans="1:13" x14ac:dyDescent="0.25">
      <c r="A13" s="13">
        <v>6</v>
      </c>
      <c r="B13" s="13" t="s">
        <v>380</v>
      </c>
      <c r="C13" s="13" t="s">
        <v>506</v>
      </c>
      <c r="D13" s="13">
        <v>291550</v>
      </c>
      <c r="E13" s="149" t="s">
        <v>505</v>
      </c>
      <c r="F13" s="149" t="s">
        <v>504</v>
      </c>
      <c r="G13" s="13" t="s">
        <v>19</v>
      </c>
      <c r="H13" s="13" t="s">
        <v>20</v>
      </c>
      <c r="I13" s="14">
        <v>45853</v>
      </c>
      <c r="J13" s="14">
        <v>45854</v>
      </c>
      <c r="K13" s="15">
        <v>250000</v>
      </c>
      <c r="L13" s="53"/>
      <c r="M13" s="13"/>
    </row>
    <row r="14" spans="1:13" x14ac:dyDescent="0.25">
      <c r="A14" s="13">
        <v>7</v>
      </c>
      <c r="B14" s="13" t="s">
        <v>380</v>
      </c>
      <c r="C14" s="13" t="s">
        <v>507</v>
      </c>
      <c r="D14" s="13">
        <v>291680</v>
      </c>
      <c r="E14" s="46" t="s">
        <v>42</v>
      </c>
      <c r="F14" s="13" t="s">
        <v>508</v>
      </c>
      <c r="G14" s="13" t="s">
        <v>19</v>
      </c>
      <c r="H14" s="13" t="s">
        <v>20</v>
      </c>
      <c r="I14" s="14">
        <v>45853</v>
      </c>
      <c r="J14" s="14">
        <v>45854</v>
      </c>
      <c r="K14" s="15">
        <v>40000</v>
      </c>
      <c r="L14" s="53"/>
      <c r="M14" s="13"/>
    </row>
    <row r="15" spans="1:13" x14ac:dyDescent="0.25">
      <c r="A15" s="13">
        <v>8</v>
      </c>
      <c r="B15" s="18" t="s">
        <v>380</v>
      </c>
      <c r="C15" s="18" t="s">
        <v>509</v>
      </c>
      <c r="D15" s="18">
        <v>291692</v>
      </c>
      <c r="E15" s="85" t="s">
        <v>42</v>
      </c>
      <c r="F15" s="18" t="s">
        <v>510</v>
      </c>
      <c r="G15" s="18" t="s">
        <v>19</v>
      </c>
      <c r="H15" s="18" t="s">
        <v>20</v>
      </c>
      <c r="I15" s="19">
        <v>45853</v>
      </c>
      <c r="J15" s="19">
        <v>45854</v>
      </c>
      <c r="K15" s="20">
        <v>70000</v>
      </c>
      <c r="L15" s="52"/>
      <c r="M15" s="18"/>
    </row>
    <row r="16" spans="1:13" x14ac:dyDescent="0.25">
      <c r="A16" s="13">
        <v>9</v>
      </c>
      <c r="B16" s="18" t="s">
        <v>380</v>
      </c>
      <c r="C16" s="18" t="s">
        <v>511</v>
      </c>
      <c r="D16" s="18">
        <v>291791</v>
      </c>
      <c r="E16" s="18" t="s">
        <v>33</v>
      </c>
      <c r="F16" s="18" t="s">
        <v>512</v>
      </c>
      <c r="G16" s="18" t="s">
        <v>24</v>
      </c>
      <c r="H16" s="18" t="s">
        <v>20</v>
      </c>
      <c r="I16" s="19">
        <v>45839</v>
      </c>
      <c r="J16" s="19">
        <v>45855</v>
      </c>
      <c r="K16" s="20">
        <v>75000</v>
      </c>
      <c r="L16" s="52"/>
      <c r="M16" s="18"/>
    </row>
    <row r="17" spans="1:13" x14ac:dyDescent="0.25">
      <c r="A17" s="13">
        <v>10</v>
      </c>
      <c r="B17" s="18" t="s">
        <v>380</v>
      </c>
      <c r="C17" s="18" t="s">
        <v>513</v>
      </c>
      <c r="D17" s="18">
        <v>291940</v>
      </c>
      <c r="E17" s="18" t="s">
        <v>82</v>
      </c>
      <c r="F17" s="18" t="s">
        <v>514</v>
      </c>
      <c r="G17" s="18" t="s">
        <v>19</v>
      </c>
      <c r="H17" s="18" t="s">
        <v>20</v>
      </c>
      <c r="I17" s="19">
        <v>45855</v>
      </c>
      <c r="J17" s="19">
        <v>45855</v>
      </c>
      <c r="K17" s="20">
        <v>750000</v>
      </c>
      <c r="L17" s="52" t="s">
        <v>515</v>
      </c>
      <c r="M17" s="18"/>
    </row>
    <row r="18" spans="1:13" x14ac:dyDescent="0.25">
      <c r="A18" s="13">
        <v>11</v>
      </c>
      <c r="B18" s="13" t="s">
        <v>31</v>
      </c>
      <c r="C18" s="13" t="s">
        <v>516</v>
      </c>
      <c r="D18" s="13">
        <v>291988</v>
      </c>
      <c r="E18" s="13" t="s">
        <v>36</v>
      </c>
      <c r="F18" s="13" t="s">
        <v>517</v>
      </c>
      <c r="G18" s="13" t="s">
        <v>19</v>
      </c>
      <c r="H18" s="13" t="s">
        <v>20</v>
      </c>
      <c r="I18" s="14">
        <v>45854</v>
      </c>
      <c r="J18" s="14">
        <v>45856</v>
      </c>
      <c r="K18" s="15">
        <v>30000</v>
      </c>
      <c r="L18" s="53"/>
      <c r="M18" s="13"/>
    </row>
    <row r="19" spans="1:13" x14ac:dyDescent="0.25">
      <c r="A19" s="172">
        <v>12</v>
      </c>
      <c r="B19" s="172" t="s">
        <v>16</v>
      </c>
      <c r="C19" s="172" t="s">
        <v>518</v>
      </c>
      <c r="D19" s="172">
        <v>292137</v>
      </c>
      <c r="E19" s="172" t="s">
        <v>17</v>
      </c>
      <c r="F19" s="172" t="s">
        <v>519</v>
      </c>
      <c r="G19" s="172" t="s">
        <v>24</v>
      </c>
      <c r="H19" s="172" t="s">
        <v>20</v>
      </c>
      <c r="I19" s="173">
        <v>45856</v>
      </c>
      <c r="J19" s="173">
        <v>45859</v>
      </c>
      <c r="K19" s="174">
        <v>20500</v>
      </c>
      <c r="L19" s="171" t="s">
        <v>520</v>
      </c>
      <c r="M19" s="18"/>
    </row>
    <row r="20" spans="1:13" x14ac:dyDescent="0.25">
      <c r="A20" s="13">
        <v>13</v>
      </c>
      <c r="B20" s="18" t="s">
        <v>16</v>
      </c>
      <c r="C20" s="18" t="s">
        <v>521</v>
      </c>
      <c r="D20" s="18">
        <v>292140</v>
      </c>
      <c r="E20" s="18" t="s">
        <v>17</v>
      </c>
      <c r="F20" s="18" t="s">
        <v>522</v>
      </c>
      <c r="G20" s="18" t="s">
        <v>19</v>
      </c>
      <c r="H20" s="18" t="s">
        <v>20</v>
      </c>
      <c r="I20" s="19">
        <v>45857</v>
      </c>
      <c r="J20" s="19">
        <v>45859</v>
      </c>
      <c r="K20" s="20">
        <v>22000</v>
      </c>
      <c r="L20" s="52"/>
      <c r="M20" s="18"/>
    </row>
    <row r="21" spans="1:13" x14ac:dyDescent="0.25">
      <c r="A21" s="13">
        <v>14</v>
      </c>
      <c r="B21" s="18" t="s">
        <v>380</v>
      </c>
      <c r="C21" s="18" t="s">
        <v>523</v>
      </c>
      <c r="D21" s="18">
        <v>292214</v>
      </c>
      <c r="E21" s="18" t="s">
        <v>524</v>
      </c>
      <c r="F21" s="18" t="s">
        <v>525</v>
      </c>
      <c r="G21" s="18" t="s">
        <v>19</v>
      </c>
      <c r="H21" s="18" t="s">
        <v>20</v>
      </c>
      <c r="I21" s="19">
        <v>45855</v>
      </c>
      <c r="J21" s="19">
        <v>45859</v>
      </c>
      <c r="K21" s="20">
        <v>30000</v>
      </c>
      <c r="L21" s="52"/>
      <c r="M21" s="18"/>
    </row>
    <row r="22" spans="1:13" x14ac:dyDescent="0.25">
      <c r="A22" s="13">
        <v>15</v>
      </c>
      <c r="B22" s="18" t="s">
        <v>380</v>
      </c>
      <c r="C22" s="18" t="s">
        <v>526</v>
      </c>
      <c r="D22" s="18">
        <v>292221</v>
      </c>
      <c r="E22" s="18" t="s">
        <v>42</v>
      </c>
      <c r="F22" s="18" t="s">
        <v>527</v>
      </c>
      <c r="G22" s="18" t="s">
        <v>19</v>
      </c>
      <c r="H22" s="18" t="s">
        <v>20</v>
      </c>
      <c r="I22" s="19">
        <v>45855</v>
      </c>
      <c r="J22" s="19">
        <v>45859</v>
      </c>
      <c r="K22" s="20">
        <v>90000</v>
      </c>
      <c r="L22" s="52"/>
      <c r="M22" s="18"/>
    </row>
    <row r="23" spans="1:13" x14ac:dyDescent="0.25">
      <c r="A23" s="13">
        <v>16</v>
      </c>
      <c r="B23" s="18" t="s">
        <v>31</v>
      </c>
      <c r="C23" s="18" t="s">
        <v>528</v>
      </c>
      <c r="D23" s="18">
        <v>292258</v>
      </c>
      <c r="E23" s="18" t="s">
        <v>17</v>
      </c>
      <c r="F23" s="18" t="s">
        <v>43</v>
      </c>
      <c r="G23" s="18" t="s">
        <v>19</v>
      </c>
      <c r="H23" s="18" t="s">
        <v>20</v>
      </c>
      <c r="I23" s="19">
        <v>45856</v>
      </c>
      <c r="J23" s="19">
        <v>45859</v>
      </c>
      <c r="K23" s="20">
        <v>18500</v>
      </c>
      <c r="L23" s="52"/>
      <c r="M23" s="18"/>
    </row>
    <row r="24" spans="1:13" x14ac:dyDescent="0.25">
      <c r="A24" s="18">
        <v>17</v>
      </c>
      <c r="B24" s="18" t="s">
        <v>380</v>
      </c>
      <c r="C24" s="18" t="s">
        <v>529</v>
      </c>
      <c r="D24" s="18">
        <v>292433</v>
      </c>
      <c r="E24" s="18" t="s">
        <v>42</v>
      </c>
      <c r="F24" s="18" t="s">
        <v>530</v>
      </c>
      <c r="G24" s="18" t="s">
        <v>19</v>
      </c>
      <c r="H24" s="18" t="s">
        <v>20</v>
      </c>
      <c r="I24" s="19">
        <v>45853</v>
      </c>
      <c r="J24" s="19">
        <v>45867</v>
      </c>
      <c r="K24" s="20">
        <v>30000</v>
      </c>
      <c r="L24" s="52"/>
      <c r="M24" s="18"/>
    </row>
    <row r="25" spans="1:13" x14ac:dyDescent="0.25">
      <c r="A25" s="18">
        <v>18</v>
      </c>
      <c r="B25" s="18" t="s">
        <v>380</v>
      </c>
      <c r="C25" s="18" t="s">
        <v>531</v>
      </c>
      <c r="D25" s="18">
        <v>292706</v>
      </c>
      <c r="E25" s="18" t="s">
        <v>63</v>
      </c>
      <c r="F25" s="18" t="s">
        <v>532</v>
      </c>
      <c r="G25" s="18" t="s">
        <v>19</v>
      </c>
      <c r="H25" s="18" t="s">
        <v>25</v>
      </c>
      <c r="I25" s="19">
        <v>45856</v>
      </c>
      <c r="J25" s="19">
        <v>45867</v>
      </c>
      <c r="K25" s="20">
        <v>400</v>
      </c>
      <c r="L25" s="52"/>
      <c r="M25" s="18"/>
    </row>
    <row r="26" spans="1:13" x14ac:dyDescent="0.25">
      <c r="A26" s="18">
        <v>19</v>
      </c>
      <c r="B26" s="18" t="s">
        <v>380</v>
      </c>
      <c r="C26" s="18" t="s">
        <v>533</v>
      </c>
      <c r="D26" s="18">
        <v>293057</v>
      </c>
      <c r="E26" s="18" t="s">
        <v>17</v>
      </c>
      <c r="F26" s="18" t="s">
        <v>534</v>
      </c>
      <c r="G26" s="18" t="s">
        <v>19</v>
      </c>
      <c r="H26" s="18" t="s">
        <v>20</v>
      </c>
      <c r="I26" s="19">
        <v>45864</v>
      </c>
      <c r="J26" s="19">
        <v>45867</v>
      </c>
      <c r="K26" s="20">
        <v>35000</v>
      </c>
      <c r="L26" s="52"/>
      <c r="M26" s="18"/>
    </row>
    <row r="27" spans="1:13" x14ac:dyDescent="0.25">
      <c r="A27" s="172">
        <v>20</v>
      </c>
      <c r="B27" s="172" t="s">
        <v>16</v>
      </c>
      <c r="C27" s="172" t="s">
        <v>535</v>
      </c>
      <c r="D27" s="172">
        <v>293239</v>
      </c>
      <c r="E27" s="172" t="s">
        <v>17</v>
      </c>
      <c r="F27" s="172" t="s">
        <v>536</v>
      </c>
      <c r="G27" s="172" t="s">
        <v>24</v>
      </c>
      <c r="H27" s="172" t="s">
        <v>20</v>
      </c>
      <c r="I27" s="173">
        <v>45866</v>
      </c>
      <c r="J27" s="173">
        <v>45867</v>
      </c>
      <c r="K27" s="174">
        <v>18000</v>
      </c>
      <c r="L27" s="171" t="s">
        <v>537</v>
      </c>
      <c r="M27" s="18"/>
    </row>
    <row r="28" spans="1:13" x14ac:dyDescent="0.25">
      <c r="A28" s="18">
        <v>21</v>
      </c>
      <c r="B28" s="18" t="s">
        <v>16</v>
      </c>
      <c r="C28" s="18" t="s">
        <v>538</v>
      </c>
      <c r="D28" s="18">
        <v>293243</v>
      </c>
      <c r="E28" s="18" t="s">
        <v>17</v>
      </c>
      <c r="F28" s="18" t="s">
        <v>539</v>
      </c>
      <c r="G28" s="18" t="s">
        <v>24</v>
      </c>
      <c r="H28" s="18" t="s">
        <v>20</v>
      </c>
      <c r="I28" s="19">
        <v>45861</v>
      </c>
      <c r="J28" s="19">
        <v>45867</v>
      </c>
      <c r="K28" s="20">
        <v>22500</v>
      </c>
      <c r="L28" s="52"/>
      <c r="M28" s="18"/>
    </row>
    <row r="29" spans="1:13" x14ac:dyDescent="0.25">
      <c r="A29" s="18">
        <v>22</v>
      </c>
      <c r="B29" s="18" t="s">
        <v>387</v>
      </c>
      <c r="C29" s="18" t="s">
        <v>540</v>
      </c>
      <c r="D29" s="18">
        <v>293503</v>
      </c>
      <c r="E29" s="18" t="s">
        <v>17</v>
      </c>
      <c r="F29" s="18" t="s">
        <v>84</v>
      </c>
      <c r="G29" s="18" t="s">
        <v>24</v>
      </c>
      <c r="H29" s="18" t="s">
        <v>20</v>
      </c>
      <c r="I29" s="14">
        <v>45861</v>
      </c>
      <c r="J29" s="14">
        <v>45868</v>
      </c>
      <c r="K29" s="20">
        <v>27300</v>
      </c>
      <c r="L29" s="53"/>
      <c r="M29" s="13"/>
    </row>
    <row r="30" spans="1:13" x14ac:dyDescent="0.25">
      <c r="A30" s="18"/>
      <c r="B30" s="18"/>
      <c r="C30" s="18"/>
      <c r="D30" s="18"/>
      <c r="E30" s="18"/>
      <c r="F30" s="18"/>
      <c r="G30" s="18"/>
      <c r="H30" s="18"/>
      <c r="I30" s="14"/>
      <c r="J30" s="14"/>
      <c r="K30" s="20"/>
      <c r="L30" s="50"/>
      <c r="M30" s="50"/>
    </row>
    <row r="31" spans="1:13" x14ac:dyDescent="0.25">
      <c r="A31" s="18"/>
      <c r="B31" s="18"/>
      <c r="C31" s="18"/>
      <c r="D31" s="18"/>
      <c r="E31" s="18"/>
      <c r="F31" s="18"/>
      <c r="G31" s="18"/>
      <c r="H31" s="18"/>
      <c r="I31" s="14"/>
      <c r="J31" s="14"/>
      <c r="K31" s="15"/>
      <c r="L31" s="50"/>
      <c r="M31" s="50"/>
    </row>
    <row r="32" spans="1:13" x14ac:dyDescent="0.25">
      <c r="A32" s="18"/>
      <c r="B32" s="18"/>
      <c r="C32" s="18"/>
      <c r="D32" s="18"/>
      <c r="E32" s="18"/>
      <c r="F32" s="18"/>
      <c r="G32" s="18"/>
      <c r="H32" s="18"/>
      <c r="I32" s="14"/>
      <c r="J32" s="14"/>
      <c r="K32" s="15"/>
      <c r="L32" s="55"/>
      <c r="M32" s="50"/>
    </row>
  </sheetData>
  <mergeCells count="2">
    <mergeCell ref="A3:M3"/>
    <mergeCell ref="A7:M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4181-069A-4FD4-8F4C-91CAFC971880}">
  <sheetPr>
    <tabColor rgb="FFFEDEF7"/>
  </sheetPr>
  <dimension ref="A2:M20"/>
  <sheetViews>
    <sheetView workbookViewId="0">
      <selection activeCell="E34" sqref="E34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5.75" x14ac:dyDescent="0.25">
      <c r="A7" s="229" t="s">
        <v>130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3" x14ac:dyDescent="0.25">
      <c r="A8" s="13">
        <v>1</v>
      </c>
      <c r="B8" s="13" t="s">
        <v>380</v>
      </c>
      <c r="C8" s="18" t="s">
        <v>541</v>
      </c>
      <c r="D8" s="18">
        <v>294160</v>
      </c>
      <c r="E8" s="13" t="s">
        <v>17</v>
      </c>
      <c r="F8" s="13" t="s">
        <v>542</v>
      </c>
      <c r="G8" s="13" t="s">
        <v>19</v>
      </c>
      <c r="H8" s="13" t="s">
        <v>20</v>
      </c>
      <c r="I8" s="14">
        <v>45869</v>
      </c>
      <c r="J8" s="14">
        <v>45871</v>
      </c>
      <c r="K8" s="15">
        <v>14000</v>
      </c>
      <c r="L8" s="82" t="s">
        <v>543</v>
      </c>
      <c r="M8" s="15"/>
    </row>
    <row r="9" spans="1:13" x14ac:dyDescent="0.25">
      <c r="A9" s="13">
        <v>2</v>
      </c>
      <c r="B9" s="13" t="s">
        <v>40</v>
      </c>
      <c r="C9" s="13" t="s">
        <v>544</v>
      </c>
      <c r="D9" s="13">
        <v>294230</v>
      </c>
      <c r="E9" s="13" t="s">
        <v>17</v>
      </c>
      <c r="F9" s="13" t="s">
        <v>547</v>
      </c>
      <c r="G9" s="13" t="s">
        <v>19</v>
      </c>
      <c r="H9" s="13" t="s">
        <v>25</v>
      </c>
      <c r="I9" s="14">
        <v>45869</v>
      </c>
      <c r="J9" s="14">
        <v>45873</v>
      </c>
      <c r="K9" s="15">
        <v>220</v>
      </c>
      <c r="L9" s="82"/>
      <c r="M9" s="13"/>
    </row>
    <row r="10" spans="1:13" x14ac:dyDescent="0.25">
      <c r="A10" s="13">
        <v>3</v>
      </c>
      <c r="B10" s="13" t="s">
        <v>380</v>
      </c>
      <c r="C10" s="13" t="s">
        <v>549</v>
      </c>
      <c r="D10" s="13">
        <v>294959</v>
      </c>
      <c r="E10" s="13" t="s">
        <v>524</v>
      </c>
      <c r="F10" s="13" t="s">
        <v>550</v>
      </c>
      <c r="G10" s="13" t="s">
        <v>19</v>
      </c>
      <c r="H10" s="13" t="s">
        <v>20</v>
      </c>
      <c r="I10" s="14">
        <v>45880</v>
      </c>
      <c r="J10" s="14">
        <v>45880</v>
      </c>
      <c r="K10" s="15">
        <v>75000</v>
      </c>
      <c r="L10" s="53"/>
      <c r="M10" s="13"/>
    </row>
    <row r="11" spans="1:13" x14ac:dyDescent="0.25">
      <c r="A11" s="13">
        <v>4</v>
      </c>
      <c r="B11" s="13" t="s">
        <v>380</v>
      </c>
      <c r="C11" s="13" t="s">
        <v>551</v>
      </c>
      <c r="D11" s="13">
        <v>294970</v>
      </c>
      <c r="E11" s="13" t="s">
        <v>524</v>
      </c>
      <c r="F11" s="13" t="s">
        <v>552</v>
      </c>
      <c r="G11" s="13" t="s">
        <v>19</v>
      </c>
      <c r="H11" s="13" t="s">
        <v>20</v>
      </c>
      <c r="I11" s="14">
        <v>45880</v>
      </c>
      <c r="J11" s="14">
        <v>45880</v>
      </c>
      <c r="K11" s="15">
        <v>20000</v>
      </c>
      <c r="L11" s="53"/>
      <c r="M11" s="13"/>
    </row>
    <row r="12" spans="1:13" x14ac:dyDescent="0.25">
      <c r="A12" s="13">
        <v>5</v>
      </c>
      <c r="B12" s="13" t="s">
        <v>16</v>
      </c>
      <c r="C12" s="13" t="s">
        <v>556</v>
      </c>
      <c r="D12" s="13">
        <v>295555</v>
      </c>
      <c r="E12" s="13" t="s">
        <v>33</v>
      </c>
      <c r="F12" s="13" t="s">
        <v>557</v>
      </c>
      <c r="G12" s="13" t="s">
        <v>19</v>
      </c>
      <c r="H12" s="13" t="s">
        <v>20</v>
      </c>
      <c r="I12" s="14">
        <v>45883</v>
      </c>
      <c r="J12" s="14">
        <v>45887</v>
      </c>
      <c r="K12" s="15">
        <v>26000</v>
      </c>
      <c r="L12" s="53"/>
      <c r="M12" s="13"/>
    </row>
    <row r="13" spans="1:13" x14ac:dyDescent="0.25">
      <c r="A13" s="13">
        <v>6</v>
      </c>
      <c r="B13" s="13" t="s">
        <v>16</v>
      </c>
      <c r="C13" s="13" t="s">
        <v>558</v>
      </c>
      <c r="D13" s="13">
        <v>295557</v>
      </c>
      <c r="E13" s="13" t="s">
        <v>17</v>
      </c>
      <c r="F13" s="13" t="s">
        <v>559</v>
      </c>
      <c r="G13" s="13" t="s">
        <v>19</v>
      </c>
      <c r="H13" s="13" t="s">
        <v>20</v>
      </c>
      <c r="I13" s="14">
        <v>45878</v>
      </c>
      <c r="J13" s="14">
        <v>45887</v>
      </c>
      <c r="K13" s="15">
        <v>17000</v>
      </c>
      <c r="L13" s="53"/>
      <c r="M13" s="13"/>
    </row>
    <row r="14" spans="1:13" x14ac:dyDescent="0.25">
      <c r="A14" s="13">
        <v>7</v>
      </c>
      <c r="B14" s="13" t="s">
        <v>380</v>
      </c>
      <c r="C14" s="13" t="s">
        <v>562</v>
      </c>
      <c r="D14" s="13">
        <v>297499</v>
      </c>
      <c r="E14" s="13" t="s">
        <v>36</v>
      </c>
      <c r="F14" s="13" t="s">
        <v>563</v>
      </c>
      <c r="G14" s="13" t="s">
        <v>24</v>
      </c>
      <c r="H14" s="13" t="s">
        <v>20</v>
      </c>
      <c r="I14" s="14">
        <v>45896</v>
      </c>
      <c r="J14" s="14">
        <v>45897</v>
      </c>
      <c r="K14" s="15">
        <v>28000</v>
      </c>
      <c r="L14" s="53"/>
      <c r="M14" s="13"/>
    </row>
    <row r="15" spans="1:13" x14ac:dyDescent="0.25">
      <c r="A15" s="13">
        <v>8</v>
      </c>
      <c r="B15" s="18" t="s">
        <v>380</v>
      </c>
      <c r="C15" s="18" t="s">
        <v>564</v>
      </c>
      <c r="D15" s="18">
        <v>297486</v>
      </c>
      <c r="E15" s="18" t="s">
        <v>565</v>
      </c>
      <c r="F15" s="18" t="s">
        <v>566</v>
      </c>
      <c r="G15" s="18" t="s">
        <v>19</v>
      </c>
      <c r="H15" s="18" t="s">
        <v>20</v>
      </c>
      <c r="I15" s="19">
        <v>45897</v>
      </c>
      <c r="J15" s="19">
        <v>45897</v>
      </c>
      <c r="K15" s="20">
        <v>150000</v>
      </c>
      <c r="L15" s="52"/>
      <c r="M15" s="18"/>
    </row>
    <row r="16" spans="1:13" x14ac:dyDescent="0.25">
      <c r="A16" s="13">
        <v>9</v>
      </c>
      <c r="B16" s="18" t="s">
        <v>16</v>
      </c>
      <c r="C16" s="18" t="s">
        <v>567</v>
      </c>
      <c r="D16" s="18">
        <v>297319</v>
      </c>
      <c r="E16" s="18" t="s">
        <v>36</v>
      </c>
      <c r="F16" s="18" t="s">
        <v>568</v>
      </c>
      <c r="G16" s="18" t="s">
        <v>24</v>
      </c>
      <c r="H16" s="18" t="s">
        <v>20</v>
      </c>
      <c r="I16" s="19">
        <v>45895</v>
      </c>
      <c r="J16" s="19">
        <v>45897</v>
      </c>
      <c r="K16" s="20">
        <v>59000</v>
      </c>
      <c r="L16" s="52" t="s">
        <v>220</v>
      </c>
      <c r="M16" s="18"/>
    </row>
    <row r="17" spans="1:13" x14ac:dyDescent="0.25">
      <c r="A17" s="13">
        <v>10</v>
      </c>
      <c r="B17" s="18" t="s">
        <v>40</v>
      </c>
      <c r="C17" s="18" t="s">
        <v>569</v>
      </c>
      <c r="D17" s="18">
        <v>297252</v>
      </c>
      <c r="E17" s="18" t="s">
        <v>17</v>
      </c>
      <c r="F17" s="18" t="s">
        <v>570</v>
      </c>
      <c r="G17" s="18" t="s">
        <v>24</v>
      </c>
      <c r="H17" s="18" t="s">
        <v>20</v>
      </c>
      <c r="I17" s="19">
        <v>45482</v>
      </c>
      <c r="J17" s="19">
        <v>45897</v>
      </c>
      <c r="K17" s="20">
        <v>112000</v>
      </c>
      <c r="L17" s="52"/>
      <c r="M17" s="18"/>
    </row>
    <row r="18" spans="1:13" x14ac:dyDescent="0.25">
      <c r="A18" s="13">
        <v>11</v>
      </c>
      <c r="B18" s="13" t="s">
        <v>31</v>
      </c>
      <c r="C18" s="13" t="s">
        <v>571</v>
      </c>
      <c r="D18" s="13">
        <v>297746</v>
      </c>
      <c r="E18" s="13" t="s">
        <v>36</v>
      </c>
      <c r="F18" s="13" t="s">
        <v>517</v>
      </c>
      <c r="G18" s="13" t="s">
        <v>19</v>
      </c>
      <c r="H18" s="13" t="s">
        <v>20</v>
      </c>
      <c r="I18" s="14">
        <v>45897</v>
      </c>
      <c r="J18" s="14">
        <v>45898</v>
      </c>
      <c r="K18" s="15">
        <v>28000</v>
      </c>
      <c r="L18" s="53" t="s">
        <v>572</v>
      </c>
      <c r="M18" s="13"/>
    </row>
    <row r="19" spans="1:13" x14ac:dyDescent="0.25">
      <c r="A19" s="13">
        <v>12</v>
      </c>
      <c r="B19" s="18" t="s">
        <v>31</v>
      </c>
      <c r="C19" s="18" t="s">
        <v>573</v>
      </c>
      <c r="D19" s="18">
        <v>297764</v>
      </c>
      <c r="E19" s="18" t="s">
        <v>36</v>
      </c>
      <c r="F19" s="18" t="s">
        <v>139</v>
      </c>
      <c r="G19" s="18" t="s">
        <v>19</v>
      </c>
      <c r="H19" s="18" t="s">
        <v>20</v>
      </c>
      <c r="I19" s="19">
        <v>45521</v>
      </c>
      <c r="J19" s="19">
        <v>45898</v>
      </c>
      <c r="K19" s="20">
        <v>35000</v>
      </c>
      <c r="L19" s="52"/>
      <c r="M19" s="18"/>
    </row>
    <row r="20" spans="1:13" x14ac:dyDescent="0.25">
      <c r="A20" s="13">
        <v>13</v>
      </c>
      <c r="B20" s="18" t="s">
        <v>40</v>
      </c>
      <c r="C20" s="18" t="s">
        <v>574</v>
      </c>
      <c r="D20" s="18">
        <v>297873</v>
      </c>
      <c r="E20" s="18" t="s">
        <v>63</v>
      </c>
      <c r="F20" s="18" t="s">
        <v>575</v>
      </c>
      <c r="G20" s="18" t="s">
        <v>19</v>
      </c>
      <c r="H20" s="18" t="s">
        <v>25</v>
      </c>
      <c r="I20" s="19">
        <v>45898</v>
      </c>
      <c r="J20" s="19">
        <v>45898</v>
      </c>
      <c r="K20" s="20">
        <v>500</v>
      </c>
      <c r="L20" s="52"/>
      <c r="M20" s="18"/>
    </row>
  </sheetData>
  <mergeCells count="2">
    <mergeCell ref="A3:M3"/>
    <mergeCell ref="A7:M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1F45-EDAD-41F9-BBB2-2B20B3CA30A6}">
  <sheetPr>
    <tabColor rgb="FFFEDEF7"/>
  </sheetPr>
  <dimension ref="A2:M29"/>
  <sheetViews>
    <sheetView workbookViewId="0">
      <selection activeCell="C29" sqref="C29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5.75" x14ac:dyDescent="0.25">
      <c r="A7" s="229" t="s">
        <v>143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3" x14ac:dyDescent="0.25">
      <c r="A8" s="13">
        <v>1</v>
      </c>
      <c r="B8" s="13" t="s">
        <v>380</v>
      </c>
      <c r="C8" s="18" t="s">
        <v>577</v>
      </c>
      <c r="D8" s="13">
        <v>298276</v>
      </c>
      <c r="E8" s="13" t="s">
        <v>63</v>
      </c>
      <c r="F8" s="13" t="s">
        <v>173</v>
      </c>
      <c r="G8" s="13" t="s">
        <v>24</v>
      </c>
      <c r="H8" s="13" t="s">
        <v>25</v>
      </c>
      <c r="I8" s="14">
        <v>45902</v>
      </c>
      <c r="J8" s="14">
        <v>45902</v>
      </c>
      <c r="K8" s="15">
        <v>500</v>
      </c>
      <c r="L8" s="82"/>
      <c r="M8" s="15"/>
    </row>
    <row r="9" spans="1:13" x14ac:dyDescent="0.25">
      <c r="A9" s="13">
        <v>2</v>
      </c>
      <c r="B9" s="13" t="s">
        <v>31</v>
      </c>
      <c r="C9" s="13" t="s">
        <v>578</v>
      </c>
      <c r="D9" s="13">
        <v>298637</v>
      </c>
      <c r="E9" s="13" t="s">
        <v>17</v>
      </c>
      <c r="F9" s="13" t="s">
        <v>45</v>
      </c>
      <c r="G9" s="13" t="s">
        <v>24</v>
      </c>
      <c r="H9" s="13" t="s">
        <v>20</v>
      </c>
      <c r="I9" s="14">
        <v>45905</v>
      </c>
      <c r="J9" s="14">
        <v>45905</v>
      </c>
      <c r="K9" s="15">
        <v>17000</v>
      </c>
      <c r="L9" s="82"/>
      <c r="M9" s="13"/>
    </row>
    <row r="10" spans="1:13" x14ac:dyDescent="0.25">
      <c r="A10" s="13">
        <v>3</v>
      </c>
      <c r="B10" s="13" t="s">
        <v>31</v>
      </c>
      <c r="C10" s="13" t="s">
        <v>579</v>
      </c>
      <c r="D10" s="13">
        <v>298660</v>
      </c>
      <c r="E10" s="13" t="s">
        <v>63</v>
      </c>
      <c r="F10" s="13" t="s">
        <v>146</v>
      </c>
      <c r="G10" s="13" t="s">
        <v>19</v>
      </c>
      <c r="H10" s="13" t="s">
        <v>25</v>
      </c>
      <c r="I10" s="14">
        <v>45905</v>
      </c>
      <c r="J10" s="14">
        <v>45905</v>
      </c>
      <c r="K10" s="15">
        <v>300</v>
      </c>
      <c r="L10" s="53"/>
      <c r="M10" s="13"/>
    </row>
    <row r="11" spans="1:13" x14ac:dyDescent="0.25">
      <c r="A11" s="13">
        <v>4</v>
      </c>
      <c r="B11" s="13" t="s">
        <v>122</v>
      </c>
      <c r="C11" s="13" t="s">
        <v>581</v>
      </c>
      <c r="D11" s="13">
        <v>298928</v>
      </c>
      <c r="E11" s="13" t="s">
        <v>17</v>
      </c>
      <c r="F11" s="13" t="s">
        <v>445</v>
      </c>
      <c r="G11" s="13" t="s">
        <v>19</v>
      </c>
      <c r="H11" s="13" t="s">
        <v>20</v>
      </c>
      <c r="I11" s="14">
        <v>45909</v>
      </c>
      <c r="J11" s="14">
        <v>45909</v>
      </c>
      <c r="K11" s="15">
        <v>40000</v>
      </c>
      <c r="L11" s="53"/>
      <c r="M11" s="13"/>
    </row>
    <row r="12" spans="1:13" x14ac:dyDescent="0.25">
      <c r="A12" s="13">
        <v>5</v>
      </c>
      <c r="B12" s="13" t="s">
        <v>122</v>
      </c>
      <c r="C12" s="13" t="s">
        <v>582</v>
      </c>
      <c r="D12" s="13">
        <v>298940</v>
      </c>
      <c r="E12" s="13" t="s">
        <v>36</v>
      </c>
      <c r="F12" s="13" t="s">
        <v>413</v>
      </c>
      <c r="G12" s="13" t="s">
        <v>19</v>
      </c>
      <c r="H12" s="13" t="s">
        <v>20</v>
      </c>
      <c r="I12" s="14">
        <v>45909</v>
      </c>
      <c r="J12" s="14">
        <v>45909</v>
      </c>
      <c r="K12" s="15">
        <v>21000</v>
      </c>
      <c r="L12" s="53"/>
      <c r="M12" s="13"/>
    </row>
    <row r="13" spans="1:13" x14ac:dyDescent="0.25">
      <c r="A13" s="13">
        <v>6</v>
      </c>
      <c r="B13" s="13" t="s">
        <v>380</v>
      </c>
      <c r="C13" s="13" t="s">
        <v>585</v>
      </c>
      <c r="D13" s="13">
        <v>299688</v>
      </c>
      <c r="E13" s="13" t="s">
        <v>17</v>
      </c>
      <c r="F13" s="13" t="s">
        <v>481</v>
      </c>
      <c r="G13" s="13" t="s">
        <v>19</v>
      </c>
      <c r="H13" s="13" t="s">
        <v>20</v>
      </c>
      <c r="I13" s="14">
        <v>45915</v>
      </c>
      <c r="J13" s="14">
        <v>45915</v>
      </c>
      <c r="K13" s="15">
        <v>24000</v>
      </c>
      <c r="L13" s="53"/>
      <c r="M13" s="13"/>
    </row>
    <row r="14" spans="1:13" x14ac:dyDescent="0.25">
      <c r="A14" s="13">
        <v>7</v>
      </c>
      <c r="B14" s="13" t="s">
        <v>31</v>
      </c>
      <c r="C14" s="13" t="s">
        <v>586</v>
      </c>
      <c r="D14" s="13">
        <v>300216</v>
      </c>
      <c r="E14" s="13" t="s">
        <v>63</v>
      </c>
      <c r="F14" s="13" t="s">
        <v>146</v>
      </c>
      <c r="G14" s="13" t="s">
        <v>19</v>
      </c>
      <c r="H14" s="13" t="s">
        <v>25</v>
      </c>
      <c r="I14" s="14">
        <v>45511</v>
      </c>
      <c r="J14" s="14">
        <v>45919</v>
      </c>
      <c r="K14" s="15">
        <v>205</v>
      </c>
      <c r="L14" s="53"/>
      <c r="M14" s="13"/>
    </row>
    <row r="15" spans="1:13" x14ac:dyDescent="0.25">
      <c r="A15" s="13">
        <v>8</v>
      </c>
      <c r="B15" s="18" t="s">
        <v>31</v>
      </c>
      <c r="C15" s="18" t="s">
        <v>587</v>
      </c>
      <c r="D15" s="18">
        <v>300218</v>
      </c>
      <c r="E15" s="18" t="s">
        <v>36</v>
      </c>
      <c r="F15" s="18" t="s">
        <v>588</v>
      </c>
      <c r="G15" s="18" t="s">
        <v>24</v>
      </c>
      <c r="H15" s="18" t="s">
        <v>20</v>
      </c>
      <c r="I15" s="19">
        <v>45531</v>
      </c>
      <c r="J15" s="19">
        <v>45919</v>
      </c>
      <c r="K15" s="20">
        <v>75000</v>
      </c>
      <c r="L15" s="52" t="s">
        <v>149</v>
      </c>
      <c r="M15" s="18"/>
    </row>
    <row r="16" spans="1:13" x14ac:dyDescent="0.25">
      <c r="A16" s="13">
        <v>9</v>
      </c>
      <c r="B16" s="18" t="s">
        <v>16</v>
      </c>
      <c r="C16" s="18" t="s">
        <v>589</v>
      </c>
      <c r="D16" s="18">
        <v>300288</v>
      </c>
      <c r="E16" s="18" t="s">
        <v>17</v>
      </c>
      <c r="F16" s="18" t="s">
        <v>590</v>
      </c>
      <c r="G16" s="18" t="s">
        <v>19</v>
      </c>
      <c r="H16" s="18" t="s">
        <v>20</v>
      </c>
      <c r="I16" s="19">
        <v>45916</v>
      </c>
      <c r="J16" s="19">
        <v>45922</v>
      </c>
      <c r="K16" s="20">
        <v>28000</v>
      </c>
      <c r="L16" s="52" t="s">
        <v>591</v>
      </c>
      <c r="M16" s="18"/>
    </row>
    <row r="17" spans="1:13" x14ac:dyDescent="0.25">
      <c r="A17" s="13">
        <v>10</v>
      </c>
      <c r="B17" s="18" t="s">
        <v>16</v>
      </c>
      <c r="C17" s="18" t="s">
        <v>592</v>
      </c>
      <c r="D17" s="18">
        <v>300298</v>
      </c>
      <c r="E17" s="18" t="s">
        <v>17</v>
      </c>
      <c r="F17" s="18" t="s">
        <v>593</v>
      </c>
      <c r="G17" s="18" t="s">
        <v>24</v>
      </c>
      <c r="H17" s="18" t="s">
        <v>20</v>
      </c>
      <c r="I17" s="19">
        <v>45920</v>
      </c>
      <c r="J17" s="19">
        <v>45922</v>
      </c>
      <c r="K17" s="20">
        <v>18000</v>
      </c>
      <c r="L17" s="52"/>
      <c r="M17" s="18"/>
    </row>
    <row r="18" spans="1:13" x14ac:dyDescent="0.25">
      <c r="A18" s="13">
        <v>11</v>
      </c>
      <c r="B18" s="13" t="s">
        <v>16</v>
      </c>
      <c r="C18" s="13" t="s">
        <v>594</v>
      </c>
      <c r="D18" s="13">
        <v>300310</v>
      </c>
      <c r="E18" s="13" t="s">
        <v>17</v>
      </c>
      <c r="F18" s="13" t="s">
        <v>593</v>
      </c>
      <c r="G18" s="13" t="s">
        <v>24</v>
      </c>
      <c r="H18" s="13" t="s">
        <v>20</v>
      </c>
      <c r="I18" s="14">
        <v>45918</v>
      </c>
      <c r="J18" s="14">
        <v>45922</v>
      </c>
      <c r="K18" s="15">
        <v>18000</v>
      </c>
      <c r="L18" s="53" t="s">
        <v>199</v>
      </c>
      <c r="M18" s="46" t="s">
        <v>91</v>
      </c>
    </row>
    <row r="19" spans="1:13" x14ac:dyDescent="0.25">
      <c r="A19" s="13">
        <v>12</v>
      </c>
      <c r="B19" s="18" t="s">
        <v>380</v>
      </c>
      <c r="C19" s="18" t="s">
        <v>597</v>
      </c>
      <c r="D19" s="18">
        <v>300544</v>
      </c>
      <c r="E19" s="18" t="s">
        <v>17</v>
      </c>
      <c r="F19" s="18" t="s">
        <v>598</v>
      </c>
      <c r="G19" s="18" t="s">
        <v>19</v>
      </c>
      <c r="H19" s="18" t="s">
        <v>20</v>
      </c>
      <c r="I19" s="19">
        <v>45922</v>
      </c>
      <c r="J19" s="19">
        <v>45923</v>
      </c>
      <c r="K19" s="20">
        <v>21500</v>
      </c>
      <c r="L19" s="52" t="s">
        <v>599</v>
      </c>
      <c r="M19" s="18"/>
    </row>
    <row r="20" spans="1:13" x14ac:dyDescent="0.25">
      <c r="A20" s="13">
        <v>13</v>
      </c>
      <c r="B20" s="18" t="s">
        <v>31</v>
      </c>
      <c r="C20" s="18" t="s">
        <v>577</v>
      </c>
      <c r="D20" s="18">
        <v>300738</v>
      </c>
      <c r="E20" s="18" t="s">
        <v>17</v>
      </c>
      <c r="F20" s="18" t="s">
        <v>600</v>
      </c>
      <c r="G20" s="18" t="s">
        <v>24</v>
      </c>
      <c r="H20" s="18" t="s">
        <v>20</v>
      </c>
      <c r="I20" s="19">
        <v>45923</v>
      </c>
      <c r="J20" s="19">
        <v>45924</v>
      </c>
      <c r="K20" s="20">
        <v>14000</v>
      </c>
      <c r="L20" s="52"/>
      <c r="M20" s="18"/>
    </row>
    <row r="21" spans="1:13" x14ac:dyDescent="0.25">
      <c r="A21" s="13">
        <v>14</v>
      </c>
      <c r="B21" s="18" t="s">
        <v>16</v>
      </c>
      <c r="C21" s="18" t="s">
        <v>578</v>
      </c>
      <c r="D21" s="18">
        <v>300692</v>
      </c>
      <c r="E21" s="18" t="s">
        <v>17</v>
      </c>
      <c r="F21" s="18" t="s">
        <v>43</v>
      </c>
      <c r="G21" s="18" t="s">
        <v>19</v>
      </c>
      <c r="H21" s="18" t="s">
        <v>20</v>
      </c>
      <c r="I21" s="19">
        <v>45924</v>
      </c>
      <c r="J21" s="19">
        <v>45924</v>
      </c>
      <c r="K21" s="20">
        <v>18000</v>
      </c>
      <c r="L21" s="52"/>
      <c r="M21" s="18"/>
    </row>
    <row r="22" spans="1:13" x14ac:dyDescent="0.25">
      <c r="A22" s="13">
        <v>15</v>
      </c>
      <c r="B22" s="13" t="s">
        <v>380</v>
      </c>
      <c r="C22" s="18" t="s">
        <v>579</v>
      </c>
      <c r="D22" s="18">
        <v>300832</v>
      </c>
      <c r="E22" s="18" t="s">
        <v>63</v>
      </c>
      <c r="F22" s="18" t="s">
        <v>601</v>
      </c>
      <c r="G22" s="18" t="s">
        <v>19</v>
      </c>
      <c r="H22" s="18" t="s">
        <v>20</v>
      </c>
      <c r="I22" s="19">
        <v>45925</v>
      </c>
      <c r="J22" s="19">
        <v>45930</v>
      </c>
      <c r="K22" s="20">
        <v>17000</v>
      </c>
      <c r="L22" s="52"/>
      <c r="M22" s="18"/>
    </row>
    <row r="23" spans="1:13" x14ac:dyDescent="0.25">
      <c r="A23" s="13">
        <v>16</v>
      </c>
      <c r="B23" s="18" t="s">
        <v>380</v>
      </c>
      <c r="C23" s="18" t="s">
        <v>581</v>
      </c>
      <c r="D23" s="18">
        <v>300846</v>
      </c>
      <c r="E23" s="18" t="s">
        <v>63</v>
      </c>
      <c r="F23" s="18" t="s">
        <v>602</v>
      </c>
      <c r="G23" s="18" t="s">
        <v>19</v>
      </c>
      <c r="H23" s="18" t="s">
        <v>20</v>
      </c>
      <c r="I23" s="19">
        <v>45925</v>
      </c>
      <c r="J23" s="19">
        <v>45930</v>
      </c>
      <c r="K23" s="20">
        <v>150000</v>
      </c>
      <c r="L23" s="52"/>
      <c r="M23" s="18"/>
    </row>
    <row r="24" spans="1:13" x14ac:dyDescent="0.25">
      <c r="A24" s="18">
        <v>17</v>
      </c>
      <c r="B24" s="18" t="s">
        <v>16</v>
      </c>
      <c r="C24" s="18" t="s">
        <v>582</v>
      </c>
      <c r="D24" s="18">
        <v>301203</v>
      </c>
      <c r="E24" s="18" t="s">
        <v>33</v>
      </c>
      <c r="F24" s="18" t="s">
        <v>603</v>
      </c>
      <c r="G24" s="18" t="s">
        <v>24</v>
      </c>
      <c r="H24" s="18" t="s">
        <v>20</v>
      </c>
      <c r="I24" s="19">
        <v>45923</v>
      </c>
      <c r="J24" s="19">
        <v>45930</v>
      </c>
      <c r="K24" s="20">
        <v>44000</v>
      </c>
      <c r="L24" s="52" t="s">
        <v>604</v>
      </c>
      <c r="M24" s="18"/>
    </row>
    <row r="25" spans="1:13" x14ac:dyDescent="0.25">
      <c r="A25" s="18">
        <v>18</v>
      </c>
      <c r="B25" s="18" t="s">
        <v>380</v>
      </c>
      <c r="C25" s="18" t="s">
        <v>585</v>
      </c>
      <c r="D25" s="18">
        <v>301570</v>
      </c>
      <c r="E25" s="18" t="s">
        <v>63</v>
      </c>
      <c r="F25" s="18" t="s">
        <v>601</v>
      </c>
      <c r="G25" s="18" t="s">
        <v>19</v>
      </c>
      <c r="H25" s="18" t="s">
        <v>20</v>
      </c>
      <c r="I25" s="19">
        <v>45929</v>
      </c>
      <c r="J25" s="19">
        <v>45930</v>
      </c>
      <c r="K25" s="20">
        <v>55000</v>
      </c>
      <c r="L25" s="52"/>
      <c r="M25" s="18"/>
    </row>
    <row r="26" spans="1:13" x14ac:dyDescent="0.25">
      <c r="A26" s="18">
        <v>19</v>
      </c>
      <c r="B26" s="18" t="s">
        <v>380</v>
      </c>
      <c r="C26" s="18" t="s">
        <v>586</v>
      </c>
      <c r="D26" s="18">
        <v>301593</v>
      </c>
      <c r="E26" s="18" t="s">
        <v>63</v>
      </c>
      <c r="F26" s="18" t="s">
        <v>601</v>
      </c>
      <c r="G26" s="18" t="s">
        <v>19</v>
      </c>
      <c r="H26" s="18" t="s">
        <v>25</v>
      </c>
      <c r="I26" s="19">
        <v>45929</v>
      </c>
      <c r="J26" s="19">
        <v>45930</v>
      </c>
      <c r="K26" s="20">
        <v>450</v>
      </c>
      <c r="L26" s="52"/>
      <c r="M26" s="18"/>
    </row>
    <row r="27" spans="1:13" x14ac:dyDescent="0.25">
      <c r="A27" s="18">
        <v>20</v>
      </c>
      <c r="B27" s="18" t="s">
        <v>380</v>
      </c>
      <c r="C27" s="18" t="s">
        <v>605</v>
      </c>
      <c r="D27" s="18">
        <v>301654</v>
      </c>
      <c r="E27" s="18" t="s">
        <v>63</v>
      </c>
      <c r="F27" s="18" t="s">
        <v>601</v>
      </c>
      <c r="G27" s="18" t="s">
        <v>19</v>
      </c>
      <c r="H27" s="18" t="s">
        <v>20</v>
      </c>
      <c r="I27" s="19">
        <v>45929</v>
      </c>
      <c r="J27" s="19">
        <v>45930</v>
      </c>
      <c r="K27" s="20">
        <v>55000</v>
      </c>
      <c r="L27" s="52"/>
      <c r="M27" s="18"/>
    </row>
    <row r="28" spans="1:13" x14ac:dyDescent="0.25">
      <c r="A28" s="18">
        <v>21</v>
      </c>
      <c r="B28" s="18" t="s">
        <v>380</v>
      </c>
      <c r="C28" s="18" t="s">
        <v>606</v>
      </c>
      <c r="D28" s="18">
        <v>301698</v>
      </c>
      <c r="E28" s="18" t="s">
        <v>63</v>
      </c>
      <c r="F28" s="18" t="s">
        <v>601</v>
      </c>
      <c r="G28" s="18" t="s">
        <v>19</v>
      </c>
      <c r="H28" s="18" t="s">
        <v>25</v>
      </c>
      <c r="I28" s="19">
        <v>45929</v>
      </c>
      <c r="J28" s="19">
        <v>45930</v>
      </c>
      <c r="K28" s="20">
        <v>600</v>
      </c>
      <c r="L28" s="52"/>
      <c r="M28" s="18"/>
    </row>
    <row r="29" spans="1:13" x14ac:dyDescent="0.25">
      <c r="A29" s="18">
        <v>22</v>
      </c>
      <c r="B29" s="18" t="s">
        <v>40</v>
      </c>
      <c r="C29" s="18" t="s">
        <v>587</v>
      </c>
      <c r="D29" s="18">
        <v>301786</v>
      </c>
      <c r="E29" s="18" t="s">
        <v>63</v>
      </c>
      <c r="F29" s="18" t="s">
        <v>607</v>
      </c>
      <c r="G29" s="18" t="s">
        <v>19</v>
      </c>
      <c r="H29" s="18" t="s">
        <v>20</v>
      </c>
      <c r="I29" s="14">
        <v>45922</v>
      </c>
      <c r="J29" s="14">
        <v>45930</v>
      </c>
      <c r="K29" s="20">
        <v>23000</v>
      </c>
      <c r="L29" s="53"/>
      <c r="M29" s="13"/>
    </row>
  </sheetData>
  <mergeCells count="2">
    <mergeCell ref="A3:M3"/>
    <mergeCell ref="A7:M7"/>
  </mergeCells>
  <pageMargins left="0.7" right="0.7" top="0.75" bottom="0.75" header="0.3" footer="0.3"/>
  <pageSetup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9996-6D15-4E8D-91B0-6B9C1EB68B20}">
  <sheetPr>
    <tabColor rgb="FFFEDEF7"/>
  </sheetPr>
  <dimension ref="A2:M12"/>
  <sheetViews>
    <sheetView topLeftCell="A4" workbookViewId="0">
      <selection activeCell="F38" sqref="F38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57031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5.75" x14ac:dyDescent="0.25">
      <c r="A7" s="229" t="s">
        <v>163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3" x14ac:dyDescent="0.25">
      <c r="A8" s="13">
        <v>1</v>
      </c>
      <c r="B8" s="13" t="s">
        <v>16</v>
      </c>
      <c r="C8" s="18" t="s">
        <v>589</v>
      </c>
      <c r="D8" s="13">
        <v>302082</v>
      </c>
      <c r="E8" s="13" t="s">
        <v>17</v>
      </c>
      <c r="F8" s="13" t="s">
        <v>610</v>
      </c>
      <c r="G8" s="13" t="s">
        <v>19</v>
      </c>
      <c r="H8" s="13" t="s">
        <v>20</v>
      </c>
      <c r="I8" s="14">
        <v>45930</v>
      </c>
      <c r="J8" s="14">
        <v>45938</v>
      </c>
      <c r="K8" s="15">
        <v>15000</v>
      </c>
      <c r="L8" s="82"/>
      <c r="M8" s="15"/>
    </row>
    <row r="9" spans="1:13" x14ac:dyDescent="0.25">
      <c r="A9" s="13">
        <v>2</v>
      </c>
      <c r="B9" s="13" t="s">
        <v>380</v>
      </c>
      <c r="C9" s="13" t="s">
        <v>592</v>
      </c>
      <c r="D9" s="13">
        <v>302688</v>
      </c>
      <c r="E9" s="13" t="s">
        <v>36</v>
      </c>
      <c r="F9" s="13" t="s">
        <v>611</v>
      </c>
      <c r="G9" s="13" t="s">
        <v>19</v>
      </c>
      <c r="H9" s="13" t="s">
        <v>20</v>
      </c>
      <c r="I9" s="14">
        <v>45939</v>
      </c>
      <c r="J9" s="14">
        <v>45943</v>
      </c>
      <c r="K9" s="15">
        <v>35000</v>
      </c>
      <c r="L9" s="82"/>
      <c r="M9" s="13"/>
    </row>
    <row r="10" spans="1:13" x14ac:dyDescent="0.25">
      <c r="A10" s="13">
        <v>3</v>
      </c>
      <c r="B10" s="13" t="s">
        <v>31</v>
      </c>
      <c r="C10" s="13" t="s">
        <v>594</v>
      </c>
      <c r="D10" s="13">
        <v>302913</v>
      </c>
      <c r="E10" s="13" t="s">
        <v>17</v>
      </c>
      <c r="F10" s="13" t="s">
        <v>612</v>
      </c>
      <c r="G10" s="13" t="s">
        <v>19</v>
      </c>
      <c r="H10" s="13" t="s">
        <v>20</v>
      </c>
      <c r="I10" s="14">
        <v>45549</v>
      </c>
      <c r="J10" s="14">
        <v>45943</v>
      </c>
      <c r="K10" s="15">
        <v>36000</v>
      </c>
      <c r="L10" s="53" t="s">
        <v>160</v>
      </c>
      <c r="M10" s="13"/>
    </row>
    <row r="11" spans="1:13" x14ac:dyDescent="0.25">
      <c r="A11" s="13">
        <v>4</v>
      </c>
      <c r="B11" s="13" t="s">
        <v>16</v>
      </c>
      <c r="C11" s="13" t="s">
        <v>597</v>
      </c>
      <c r="D11" s="13">
        <v>300581</v>
      </c>
      <c r="E11" s="13" t="s">
        <v>17</v>
      </c>
      <c r="F11" s="13" t="s">
        <v>618</v>
      </c>
      <c r="G11" s="13" t="s">
        <v>19</v>
      </c>
      <c r="H11" s="13" t="s">
        <v>20</v>
      </c>
      <c r="I11" s="14">
        <v>45957</v>
      </c>
      <c r="J11" s="14">
        <v>45959</v>
      </c>
      <c r="K11" s="15">
        <v>29000</v>
      </c>
      <c r="L11" s="53" t="s">
        <v>619</v>
      </c>
      <c r="M11" s="13"/>
    </row>
    <row r="12" spans="1:13" x14ac:dyDescent="0.25">
      <c r="A12" s="13">
        <v>5</v>
      </c>
      <c r="B12" s="13" t="s">
        <v>40</v>
      </c>
      <c r="C12" s="13" t="s">
        <v>620</v>
      </c>
      <c r="D12" s="13">
        <v>305412</v>
      </c>
      <c r="E12" s="13" t="s">
        <v>93</v>
      </c>
      <c r="F12" s="13" t="s">
        <v>621</v>
      </c>
      <c r="G12" s="13" t="s">
        <v>19</v>
      </c>
      <c r="H12" s="13" t="s">
        <v>20</v>
      </c>
      <c r="I12" s="14">
        <v>45960</v>
      </c>
      <c r="J12" s="14">
        <v>45960</v>
      </c>
      <c r="K12" s="15">
        <v>40000</v>
      </c>
      <c r="L12" s="53"/>
      <c r="M12" s="13"/>
    </row>
  </sheetData>
  <mergeCells count="2">
    <mergeCell ref="A3:M3"/>
    <mergeCell ref="A7:M7"/>
  </mergeCells>
  <pageMargins left="0.7" right="0.7" top="0.75" bottom="0.75" header="0.3" footer="0.3"/>
  <pageSetup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AF81-4317-4138-AFEE-962B446650DA}">
  <sheetPr>
    <tabColor rgb="FFFEDEF7"/>
  </sheetPr>
  <dimension ref="A2:M29"/>
  <sheetViews>
    <sheetView workbookViewId="0">
      <selection activeCell="C29" sqref="C29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5.75" x14ac:dyDescent="0.25">
      <c r="A7" s="229" t="s">
        <v>176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3" x14ac:dyDescent="0.25">
      <c r="A8" s="13">
        <v>1</v>
      </c>
      <c r="B8" s="13" t="s">
        <v>380</v>
      </c>
      <c r="C8" s="13" t="s">
        <v>625</v>
      </c>
      <c r="D8" s="13">
        <v>305890</v>
      </c>
      <c r="E8" s="13" t="s">
        <v>36</v>
      </c>
      <c r="F8" s="13" t="s">
        <v>624</v>
      </c>
      <c r="G8" s="13" t="s">
        <v>24</v>
      </c>
      <c r="H8" s="13" t="s">
        <v>20</v>
      </c>
      <c r="I8" s="14">
        <v>45964</v>
      </c>
      <c r="J8" s="14">
        <v>45964</v>
      </c>
      <c r="K8" s="15">
        <v>45000</v>
      </c>
      <c r="L8" s="82"/>
      <c r="M8" s="15"/>
    </row>
    <row r="9" spans="1:13" x14ac:dyDescent="0.25">
      <c r="A9" s="13">
        <v>2</v>
      </c>
      <c r="B9" s="13" t="s">
        <v>31</v>
      </c>
      <c r="C9" s="13" t="s">
        <v>626</v>
      </c>
      <c r="D9" s="13">
        <v>305910</v>
      </c>
      <c r="E9" s="13" t="s">
        <v>17</v>
      </c>
      <c r="F9" s="13" t="s">
        <v>622</v>
      </c>
      <c r="G9" s="13" t="s">
        <v>19</v>
      </c>
      <c r="H9" s="13" t="s">
        <v>20</v>
      </c>
      <c r="I9" s="14">
        <v>45958</v>
      </c>
      <c r="J9" s="14">
        <v>45964</v>
      </c>
      <c r="K9" s="15">
        <v>30000</v>
      </c>
      <c r="L9" s="82"/>
      <c r="M9" s="13"/>
    </row>
    <row r="10" spans="1:13" x14ac:dyDescent="0.25">
      <c r="A10" s="13">
        <v>3</v>
      </c>
      <c r="B10" s="13" t="s">
        <v>31</v>
      </c>
      <c r="C10" s="13" t="s">
        <v>627</v>
      </c>
      <c r="D10" s="13">
        <v>305990</v>
      </c>
      <c r="E10" s="13" t="s">
        <v>36</v>
      </c>
      <c r="F10" s="13" t="s">
        <v>623</v>
      </c>
      <c r="G10" s="13" t="s">
        <v>19</v>
      </c>
      <c r="H10" s="13" t="s">
        <v>20</v>
      </c>
      <c r="I10" s="14">
        <v>45586</v>
      </c>
      <c r="J10" s="14">
        <v>45964</v>
      </c>
      <c r="K10" s="15">
        <v>20000</v>
      </c>
      <c r="L10" s="53" t="s">
        <v>628</v>
      </c>
      <c r="M10" s="13"/>
    </row>
    <row r="11" spans="1:13" x14ac:dyDescent="0.25">
      <c r="A11" s="13">
        <v>4</v>
      </c>
      <c r="B11" s="13" t="s">
        <v>40</v>
      </c>
      <c r="C11" s="13" t="s">
        <v>629</v>
      </c>
      <c r="D11" s="13">
        <v>306118</v>
      </c>
      <c r="E11" s="13" t="s">
        <v>36</v>
      </c>
      <c r="F11" s="13" t="s">
        <v>630</v>
      </c>
      <c r="G11" s="13" t="s">
        <v>19</v>
      </c>
      <c r="H11" s="13" t="s">
        <v>20</v>
      </c>
      <c r="I11" s="14">
        <v>45961</v>
      </c>
      <c r="J11" s="14">
        <v>45965</v>
      </c>
      <c r="K11" s="15">
        <v>45000</v>
      </c>
      <c r="L11" s="53"/>
      <c r="M11" s="13"/>
    </row>
    <row r="12" spans="1:13" x14ac:dyDescent="0.25">
      <c r="A12" s="13">
        <v>5</v>
      </c>
      <c r="B12" s="13" t="s">
        <v>380</v>
      </c>
      <c r="C12" s="13" t="s">
        <v>638</v>
      </c>
      <c r="D12" s="13">
        <v>306345</v>
      </c>
      <c r="E12" s="13" t="s">
        <v>17</v>
      </c>
      <c r="F12" s="13" t="s">
        <v>639</v>
      </c>
      <c r="G12" s="13" t="s">
        <v>19</v>
      </c>
      <c r="H12" s="13" t="s">
        <v>20</v>
      </c>
      <c r="I12" s="14">
        <v>45967</v>
      </c>
      <c r="J12" s="14">
        <v>45967</v>
      </c>
      <c r="K12" s="15">
        <v>21000</v>
      </c>
      <c r="L12" s="53"/>
      <c r="M12" s="13"/>
    </row>
    <row r="13" spans="1:13" x14ac:dyDescent="0.25">
      <c r="A13" s="13">
        <v>6</v>
      </c>
      <c r="B13" s="13" t="s">
        <v>380</v>
      </c>
      <c r="C13" s="13" t="s">
        <v>643</v>
      </c>
      <c r="D13" s="13">
        <v>306887</v>
      </c>
      <c r="E13" s="13" t="s">
        <v>33</v>
      </c>
      <c r="F13" s="13" t="s">
        <v>644</v>
      </c>
      <c r="G13" s="13" t="s">
        <v>24</v>
      </c>
      <c r="H13" s="13" t="s">
        <v>20</v>
      </c>
      <c r="I13" s="14">
        <v>45970</v>
      </c>
      <c r="J13" s="14">
        <v>45972</v>
      </c>
      <c r="K13" s="15">
        <v>180000</v>
      </c>
      <c r="L13" s="53"/>
      <c r="M13" s="13"/>
    </row>
    <row r="14" spans="1:13" x14ac:dyDescent="0.25">
      <c r="A14" s="13">
        <v>7</v>
      </c>
      <c r="B14" s="13" t="s">
        <v>380</v>
      </c>
      <c r="C14" s="13" t="s">
        <v>645</v>
      </c>
      <c r="D14" s="13">
        <v>306900</v>
      </c>
      <c r="E14" s="13" t="s">
        <v>17</v>
      </c>
      <c r="F14" s="13" t="s">
        <v>646</v>
      </c>
      <c r="G14" s="13" t="s">
        <v>24</v>
      </c>
      <c r="H14" s="13" t="s">
        <v>20</v>
      </c>
      <c r="I14" s="14">
        <v>45970</v>
      </c>
      <c r="J14" s="14">
        <v>45972</v>
      </c>
      <c r="K14" s="15">
        <v>68000</v>
      </c>
      <c r="L14" s="53"/>
      <c r="M14" s="13"/>
    </row>
    <row r="15" spans="1:13" x14ac:dyDescent="0.25">
      <c r="A15" s="13">
        <v>8</v>
      </c>
      <c r="B15" s="18" t="s">
        <v>380</v>
      </c>
      <c r="C15" s="18" t="s">
        <v>647</v>
      </c>
      <c r="D15" s="18">
        <v>306916</v>
      </c>
      <c r="E15" s="18" t="s">
        <v>93</v>
      </c>
      <c r="F15" s="18" t="s">
        <v>648</v>
      </c>
      <c r="G15" s="18" t="s">
        <v>24</v>
      </c>
      <c r="H15" s="18" t="s">
        <v>20</v>
      </c>
      <c r="I15" s="19">
        <v>45970</v>
      </c>
      <c r="J15" s="19">
        <v>45972</v>
      </c>
      <c r="K15" s="20">
        <v>50000</v>
      </c>
      <c r="L15" s="52"/>
      <c r="M15" s="18"/>
    </row>
    <row r="16" spans="1:13" x14ac:dyDescent="0.25">
      <c r="A16" s="13">
        <v>9</v>
      </c>
      <c r="B16" s="18" t="s">
        <v>380</v>
      </c>
      <c r="C16" s="18" t="s">
        <v>649</v>
      </c>
      <c r="D16" s="18">
        <v>306925</v>
      </c>
      <c r="E16" s="18" t="s">
        <v>93</v>
      </c>
      <c r="F16" s="18" t="s">
        <v>648</v>
      </c>
      <c r="G16" s="18" t="s">
        <v>24</v>
      </c>
      <c r="H16" s="18" t="s">
        <v>20</v>
      </c>
      <c r="I16" s="19">
        <v>45970</v>
      </c>
      <c r="J16" s="19">
        <v>45972</v>
      </c>
      <c r="K16" s="20">
        <v>30000</v>
      </c>
      <c r="L16" s="52"/>
      <c r="M16" s="18"/>
    </row>
    <row r="17" spans="1:13" x14ac:dyDescent="0.25">
      <c r="A17" s="13">
        <v>10</v>
      </c>
      <c r="B17" s="18" t="s">
        <v>380</v>
      </c>
      <c r="C17" s="18" t="s">
        <v>651</v>
      </c>
      <c r="D17" s="18">
        <v>306934</v>
      </c>
      <c r="E17" s="18" t="s">
        <v>93</v>
      </c>
      <c r="F17" s="18" t="s">
        <v>648</v>
      </c>
      <c r="G17" s="18" t="s">
        <v>24</v>
      </c>
      <c r="H17" s="18" t="s">
        <v>20</v>
      </c>
      <c r="I17" s="19">
        <v>45970</v>
      </c>
      <c r="J17" s="19">
        <v>45972</v>
      </c>
      <c r="K17" s="20">
        <v>20000</v>
      </c>
      <c r="L17" s="52"/>
      <c r="M17" s="18"/>
    </row>
    <row r="18" spans="1:13" x14ac:dyDescent="0.25">
      <c r="A18" s="13">
        <v>11</v>
      </c>
      <c r="B18" s="13" t="s">
        <v>380</v>
      </c>
      <c r="C18" s="13" t="s">
        <v>650</v>
      </c>
      <c r="D18" s="13">
        <v>306939</v>
      </c>
      <c r="E18" s="13" t="s">
        <v>42</v>
      </c>
      <c r="F18" s="13" t="s">
        <v>653</v>
      </c>
      <c r="G18" s="13" t="s">
        <v>24</v>
      </c>
      <c r="H18" s="13" t="s">
        <v>20</v>
      </c>
      <c r="I18" s="14">
        <v>45970</v>
      </c>
      <c r="J18" s="14">
        <v>45973</v>
      </c>
      <c r="K18" s="15">
        <v>180000</v>
      </c>
      <c r="L18" s="53" t="s">
        <v>656</v>
      </c>
      <c r="M18" s="13"/>
    </row>
    <row r="19" spans="1:13" x14ac:dyDescent="0.25">
      <c r="A19" s="13">
        <v>12</v>
      </c>
      <c r="B19" s="18" t="s">
        <v>380</v>
      </c>
      <c r="C19" s="18" t="s">
        <v>652</v>
      </c>
      <c r="D19" s="18">
        <v>306949</v>
      </c>
      <c r="E19" s="18" t="s">
        <v>654</v>
      </c>
      <c r="F19" s="18" t="s">
        <v>655</v>
      </c>
      <c r="G19" s="18" t="s">
        <v>24</v>
      </c>
      <c r="H19" s="18" t="s">
        <v>20</v>
      </c>
      <c r="I19" s="19">
        <v>45970</v>
      </c>
      <c r="J19" s="19">
        <v>45973</v>
      </c>
      <c r="K19" s="20">
        <v>480000</v>
      </c>
      <c r="L19" s="52"/>
      <c r="M19" s="18"/>
    </row>
    <row r="20" spans="1:13" x14ac:dyDescent="0.25">
      <c r="A20" s="13">
        <v>13</v>
      </c>
      <c r="B20" s="18" t="s">
        <v>16</v>
      </c>
      <c r="C20" s="18" t="s">
        <v>660</v>
      </c>
      <c r="D20" s="18">
        <v>307279</v>
      </c>
      <c r="E20" s="18" t="s">
        <v>17</v>
      </c>
      <c r="F20" s="18" t="s">
        <v>662</v>
      </c>
      <c r="G20" s="18" t="s">
        <v>19</v>
      </c>
      <c r="H20" s="18" t="s">
        <v>20</v>
      </c>
      <c r="I20" s="19">
        <v>45975</v>
      </c>
      <c r="J20" s="19">
        <v>45975</v>
      </c>
      <c r="K20" s="20">
        <v>18000</v>
      </c>
      <c r="L20" s="52" t="s">
        <v>663</v>
      </c>
      <c r="M20" s="18"/>
    </row>
    <row r="21" spans="1:13" x14ac:dyDescent="0.25">
      <c r="A21" s="13">
        <v>14</v>
      </c>
      <c r="B21" s="18" t="s">
        <v>380</v>
      </c>
      <c r="C21" s="18" t="s">
        <v>661</v>
      </c>
      <c r="D21" s="18">
        <v>307284</v>
      </c>
      <c r="E21" s="18" t="s">
        <v>93</v>
      </c>
      <c r="F21" s="18" t="s">
        <v>664</v>
      </c>
      <c r="G21" s="18" t="s">
        <v>24</v>
      </c>
      <c r="H21" s="18" t="s">
        <v>20</v>
      </c>
      <c r="I21" s="19">
        <v>45970</v>
      </c>
      <c r="J21" s="19">
        <v>45975</v>
      </c>
      <c r="K21" s="20">
        <v>148000</v>
      </c>
      <c r="L21" s="52" t="s">
        <v>656</v>
      </c>
      <c r="M21" s="18"/>
    </row>
    <row r="22" spans="1:13" x14ac:dyDescent="0.25">
      <c r="A22" s="13">
        <v>15</v>
      </c>
      <c r="B22" s="18" t="s">
        <v>380</v>
      </c>
      <c r="C22" s="18" t="s">
        <v>629</v>
      </c>
      <c r="D22" s="18">
        <v>307291</v>
      </c>
      <c r="E22" s="18" t="s">
        <v>93</v>
      </c>
      <c r="F22" s="18" t="s">
        <v>665</v>
      </c>
      <c r="G22" s="18" t="s">
        <v>24</v>
      </c>
      <c r="H22" s="18" t="s">
        <v>20</v>
      </c>
      <c r="I22" s="19">
        <v>45970</v>
      </c>
      <c r="J22" s="19">
        <v>45975</v>
      </c>
      <c r="K22" s="20">
        <v>450000</v>
      </c>
      <c r="L22" s="52" t="s">
        <v>656</v>
      </c>
      <c r="M22" s="18"/>
    </row>
    <row r="23" spans="1:13" x14ac:dyDescent="0.25">
      <c r="A23" s="13">
        <v>16</v>
      </c>
      <c r="B23" s="18" t="s">
        <v>380</v>
      </c>
      <c r="C23" s="18" t="s">
        <v>638</v>
      </c>
      <c r="D23" s="18">
        <v>307295</v>
      </c>
      <c r="E23" s="18" t="s">
        <v>93</v>
      </c>
      <c r="F23" s="18" t="s">
        <v>666</v>
      </c>
      <c r="G23" s="18" t="s">
        <v>19</v>
      </c>
      <c r="H23" s="18" t="s">
        <v>20</v>
      </c>
      <c r="I23" s="19">
        <v>45967</v>
      </c>
      <c r="J23" s="19">
        <v>45975</v>
      </c>
      <c r="K23" s="20">
        <v>25000</v>
      </c>
      <c r="L23" s="52" t="s">
        <v>667</v>
      </c>
      <c r="M23" s="18"/>
    </row>
    <row r="24" spans="1:13" x14ac:dyDescent="0.25">
      <c r="A24" s="18">
        <v>17</v>
      </c>
      <c r="B24" s="18" t="s">
        <v>16</v>
      </c>
      <c r="C24" s="18" t="s">
        <v>643</v>
      </c>
      <c r="D24" s="18">
        <v>307320</v>
      </c>
      <c r="E24" s="18" t="s">
        <v>17</v>
      </c>
      <c r="F24" s="18" t="s">
        <v>77</v>
      </c>
      <c r="G24" s="18" t="s">
        <v>19</v>
      </c>
      <c r="H24" s="18" t="s">
        <v>20</v>
      </c>
      <c r="I24" s="19">
        <v>45975</v>
      </c>
      <c r="J24" s="19">
        <v>45975</v>
      </c>
      <c r="K24" s="20">
        <v>48000</v>
      </c>
      <c r="L24" s="52"/>
      <c r="M24" s="18"/>
    </row>
    <row r="25" spans="1:13" x14ac:dyDescent="0.25">
      <c r="A25" s="18">
        <v>18</v>
      </c>
      <c r="B25" s="18" t="s">
        <v>40</v>
      </c>
      <c r="C25" s="18" t="s">
        <v>645</v>
      </c>
      <c r="D25" s="18">
        <v>307747</v>
      </c>
      <c r="E25" s="18" t="s">
        <v>17</v>
      </c>
      <c r="F25" s="18" t="s">
        <v>668</v>
      </c>
      <c r="G25" s="18" t="s">
        <v>24</v>
      </c>
      <c r="H25" s="18" t="s">
        <v>20</v>
      </c>
      <c r="I25" s="19"/>
      <c r="J25" s="19">
        <v>45980</v>
      </c>
      <c r="K25" s="20">
        <v>25000</v>
      </c>
      <c r="L25" s="52"/>
      <c r="M25" s="18"/>
    </row>
    <row r="26" spans="1:13" x14ac:dyDescent="0.25">
      <c r="A26" s="18">
        <v>19</v>
      </c>
      <c r="B26" s="18" t="s">
        <v>31</v>
      </c>
      <c r="C26" s="18" t="s">
        <v>647</v>
      </c>
      <c r="D26" s="18">
        <v>307738</v>
      </c>
      <c r="E26" s="18" t="s">
        <v>669</v>
      </c>
      <c r="F26" s="18" t="s">
        <v>670</v>
      </c>
      <c r="G26" s="18" t="s">
        <v>24</v>
      </c>
      <c r="H26" s="18" t="s">
        <v>20</v>
      </c>
      <c r="I26" s="19"/>
      <c r="J26" s="19">
        <v>45980</v>
      </c>
      <c r="K26" s="20">
        <v>450000</v>
      </c>
      <c r="L26" s="52" t="s">
        <v>671</v>
      </c>
      <c r="M26" s="18"/>
    </row>
    <row r="27" spans="1:13" x14ac:dyDescent="0.25">
      <c r="A27" s="18">
        <v>20</v>
      </c>
      <c r="B27" s="18" t="s">
        <v>16</v>
      </c>
      <c r="C27" s="18" t="s">
        <v>649</v>
      </c>
      <c r="D27" s="18">
        <v>308065</v>
      </c>
      <c r="E27" s="18" t="s">
        <v>17</v>
      </c>
      <c r="F27" s="18" t="s">
        <v>673</v>
      </c>
      <c r="G27" s="18" t="s">
        <v>19</v>
      </c>
      <c r="H27" s="18" t="s">
        <v>20</v>
      </c>
      <c r="I27" s="19">
        <v>45983</v>
      </c>
      <c r="J27" s="19">
        <v>45986</v>
      </c>
      <c r="K27" s="20">
        <v>36500</v>
      </c>
      <c r="L27" s="52"/>
      <c r="M27" s="18"/>
    </row>
    <row r="28" spans="1:13" x14ac:dyDescent="0.25">
      <c r="A28" s="18">
        <v>21</v>
      </c>
      <c r="B28" s="18" t="s">
        <v>16</v>
      </c>
      <c r="C28" s="18" t="s">
        <v>651</v>
      </c>
      <c r="D28" s="18">
        <v>308449</v>
      </c>
      <c r="E28" s="18" t="s">
        <v>674</v>
      </c>
      <c r="F28" s="18" t="s">
        <v>676</v>
      </c>
      <c r="G28" s="18" t="s">
        <v>24</v>
      </c>
      <c r="H28" s="18" t="s">
        <v>20</v>
      </c>
      <c r="I28" s="19">
        <v>45986</v>
      </c>
      <c r="J28" s="19">
        <v>45988</v>
      </c>
      <c r="K28" s="20">
        <v>47000</v>
      </c>
      <c r="L28" s="52"/>
      <c r="M28" s="18"/>
    </row>
    <row r="29" spans="1:13" x14ac:dyDescent="0.25">
      <c r="A29" s="18">
        <v>22</v>
      </c>
      <c r="B29" s="18" t="s">
        <v>16</v>
      </c>
      <c r="C29" s="18" t="s">
        <v>650</v>
      </c>
      <c r="D29" s="18">
        <v>308479</v>
      </c>
      <c r="E29" s="18" t="s">
        <v>674</v>
      </c>
      <c r="F29" s="18" t="s">
        <v>675</v>
      </c>
      <c r="G29" s="18" t="s">
        <v>24</v>
      </c>
      <c r="H29" s="18" t="s">
        <v>20</v>
      </c>
      <c r="I29" s="14">
        <v>45986</v>
      </c>
      <c r="J29" s="14">
        <v>45988</v>
      </c>
      <c r="K29" s="20">
        <v>47500</v>
      </c>
      <c r="L29" s="53"/>
      <c r="M29" s="13"/>
    </row>
  </sheetData>
  <mergeCells count="2">
    <mergeCell ref="A3:M3"/>
    <mergeCell ref="A7:M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C443-433F-4B53-86B2-04532DA0CCDE}">
  <sheetPr>
    <tabColor rgb="FFFEDEF7"/>
  </sheetPr>
  <dimension ref="A2:M32"/>
  <sheetViews>
    <sheetView workbookViewId="0">
      <selection activeCell="A8" sqref="A8:XFD14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88" t="s">
        <v>215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79" t="s">
        <v>2</v>
      </c>
      <c r="B6" s="7" t="s">
        <v>3</v>
      </c>
      <c r="C6" s="80" t="s">
        <v>4</v>
      </c>
      <c r="D6" s="7" t="s">
        <v>5</v>
      </c>
      <c r="E6" s="80" t="s">
        <v>6</v>
      </c>
      <c r="F6" s="7" t="s">
        <v>7</v>
      </c>
      <c r="G6" s="7" t="s">
        <v>8</v>
      </c>
      <c r="H6" s="80" t="s">
        <v>9</v>
      </c>
      <c r="I6" s="7" t="s">
        <v>10</v>
      </c>
      <c r="J6" s="80" t="s">
        <v>11</v>
      </c>
      <c r="K6" s="7" t="s">
        <v>12</v>
      </c>
      <c r="L6" s="7" t="s">
        <v>214</v>
      </c>
      <c r="M6" s="81" t="s">
        <v>14</v>
      </c>
    </row>
    <row r="7" spans="1:13" ht="15.75" x14ac:dyDescent="0.25">
      <c r="A7" s="229" t="s">
        <v>191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3" x14ac:dyDescent="0.25">
      <c r="A8" s="13">
        <v>1</v>
      </c>
      <c r="B8" s="13" t="s">
        <v>472</v>
      </c>
      <c r="C8" s="18" t="s">
        <v>652</v>
      </c>
      <c r="D8" s="13">
        <v>309465</v>
      </c>
      <c r="E8" s="13" t="s">
        <v>63</v>
      </c>
      <c r="F8" s="13" t="s">
        <v>684</v>
      </c>
      <c r="G8" s="13" t="s">
        <v>24</v>
      </c>
      <c r="H8" s="13" t="s">
        <v>25</v>
      </c>
      <c r="I8" s="14">
        <v>45994</v>
      </c>
      <c r="J8" s="14">
        <v>45995</v>
      </c>
      <c r="K8" s="15">
        <v>650</v>
      </c>
      <c r="L8" s="82"/>
      <c r="M8" s="15"/>
    </row>
    <row r="9" spans="1:13" x14ac:dyDescent="0.25">
      <c r="A9" s="13">
        <v>2</v>
      </c>
      <c r="B9" s="13" t="s">
        <v>31</v>
      </c>
      <c r="C9" s="13" t="s">
        <v>660</v>
      </c>
      <c r="D9" s="13">
        <v>309727</v>
      </c>
      <c r="E9" s="13" t="s">
        <v>36</v>
      </c>
      <c r="F9" s="13" t="s">
        <v>382</v>
      </c>
      <c r="G9" s="13" t="s">
        <v>19</v>
      </c>
      <c r="H9" s="13" t="s">
        <v>20</v>
      </c>
      <c r="I9" s="14">
        <v>45994</v>
      </c>
      <c r="J9" s="14">
        <v>45996</v>
      </c>
      <c r="K9" s="15">
        <v>27000</v>
      </c>
      <c r="L9" s="82"/>
      <c r="M9" s="13"/>
    </row>
    <row r="10" spans="1:13" x14ac:dyDescent="0.25">
      <c r="A10" s="13">
        <v>3</v>
      </c>
      <c r="B10" s="13" t="s">
        <v>472</v>
      </c>
      <c r="C10" s="13" t="s">
        <v>661</v>
      </c>
      <c r="D10" s="13">
        <v>309808</v>
      </c>
      <c r="E10" s="13" t="s">
        <v>63</v>
      </c>
      <c r="F10" s="13" t="s">
        <v>685</v>
      </c>
      <c r="G10" s="13" t="s">
        <v>24</v>
      </c>
      <c r="H10" s="13" t="s">
        <v>25</v>
      </c>
      <c r="I10" s="14">
        <v>45994</v>
      </c>
      <c r="J10" s="14">
        <v>45999</v>
      </c>
      <c r="K10" s="15">
        <v>1350</v>
      </c>
      <c r="L10" s="53"/>
      <c r="M10" s="13"/>
    </row>
    <row r="11" spans="1:13" x14ac:dyDescent="0.25">
      <c r="A11" s="13">
        <v>4</v>
      </c>
      <c r="B11" s="13" t="s">
        <v>16</v>
      </c>
      <c r="C11" s="13" t="s">
        <v>686</v>
      </c>
      <c r="D11" s="13">
        <v>309793</v>
      </c>
      <c r="E11" s="13" t="s">
        <v>101</v>
      </c>
      <c r="F11" s="13" t="s">
        <v>235</v>
      </c>
      <c r="G11" s="13" t="s">
        <v>19</v>
      </c>
      <c r="H11" s="13" t="s">
        <v>20</v>
      </c>
      <c r="I11" s="14">
        <v>45993</v>
      </c>
      <c r="J11" s="14">
        <v>45999</v>
      </c>
      <c r="K11" s="15">
        <v>17000</v>
      </c>
      <c r="L11" s="53"/>
      <c r="M11" s="13"/>
    </row>
    <row r="12" spans="1:13" x14ac:dyDescent="0.25">
      <c r="A12" s="13">
        <v>5</v>
      </c>
      <c r="B12" s="13" t="s">
        <v>472</v>
      </c>
      <c r="C12" s="13" t="s">
        <v>687</v>
      </c>
      <c r="D12" s="13">
        <v>310280</v>
      </c>
      <c r="E12" s="13" t="s">
        <v>63</v>
      </c>
      <c r="F12" s="13" t="s">
        <v>404</v>
      </c>
      <c r="G12" s="13" t="s">
        <v>19</v>
      </c>
      <c r="H12" s="13" t="s">
        <v>25</v>
      </c>
      <c r="I12" s="14">
        <v>46001</v>
      </c>
      <c r="J12" s="14">
        <v>46002</v>
      </c>
      <c r="K12" s="15">
        <v>600</v>
      </c>
      <c r="L12" s="53"/>
      <c r="M12" s="13"/>
    </row>
    <row r="13" spans="1:13" x14ac:dyDescent="0.25">
      <c r="A13" s="13">
        <v>6</v>
      </c>
      <c r="B13" s="13" t="s">
        <v>31</v>
      </c>
      <c r="C13" s="13" t="s">
        <v>592</v>
      </c>
      <c r="D13" s="13">
        <v>310341</v>
      </c>
      <c r="E13" s="13" t="s">
        <v>17</v>
      </c>
      <c r="F13" s="13" t="s">
        <v>688</v>
      </c>
      <c r="G13" s="13" t="s">
        <v>24</v>
      </c>
      <c r="H13" s="13" t="s">
        <v>20</v>
      </c>
      <c r="I13" s="14">
        <v>45997</v>
      </c>
      <c r="J13" s="14">
        <v>46003</v>
      </c>
      <c r="K13" s="15">
        <v>24000</v>
      </c>
      <c r="L13" s="53"/>
      <c r="M13" s="13"/>
    </row>
    <row r="14" spans="1:13" x14ac:dyDescent="0.25">
      <c r="A14" s="13"/>
      <c r="B14" s="13"/>
      <c r="C14" s="13"/>
      <c r="D14" s="13"/>
      <c r="E14" s="13"/>
      <c r="F14" s="13"/>
      <c r="G14" s="13"/>
      <c r="H14" s="13"/>
      <c r="I14" s="14"/>
      <c r="J14" s="14"/>
      <c r="K14" s="15"/>
      <c r="L14" s="53"/>
      <c r="M14" s="13"/>
    </row>
    <row r="15" spans="1:13" x14ac:dyDescent="0.25">
      <c r="A15" s="13"/>
      <c r="B15" s="18"/>
      <c r="C15" s="18"/>
      <c r="D15" s="18"/>
      <c r="E15" s="18"/>
      <c r="F15" s="18"/>
      <c r="G15" s="18"/>
      <c r="H15" s="18"/>
      <c r="I15" s="19"/>
      <c r="J15" s="19"/>
      <c r="K15" s="20"/>
      <c r="L15" s="52"/>
      <c r="M15" s="18"/>
    </row>
    <row r="16" spans="1:13" x14ac:dyDescent="0.25">
      <c r="A16" s="13"/>
      <c r="B16" s="18"/>
      <c r="C16" s="18"/>
      <c r="D16" s="18"/>
      <c r="E16" s="18"/>
      <c r="F16" s="18"/>
      <c r="G16" s="18"/>
      <c r="H16" s="18"/>
      <c r="I16" s="19"/>
      <c r="J16" s="19"/>
      <c r="K16" s="20"/>
      <c r="L16" s="52"/>
      <c r="M16" s="18"/>
    </row>
    <row r="17" spans="1:13" x14ac:dyDescent="0.25">
      <c r="A17" s="13"/>
      <c r="B17" s="18"/>
      <c r="C17" s="18"/>
      <c r="D17" s="18"/>
      <c r="E17" s="18"/>
      <c r="F17" s="18"/>
      <c r="G17" s="18"/>
      <c r="H17" s="18"/>
      <c r="I17" s="19"/>
      <c r="J17" s="19"/>
      <c r="K17" s="20"/>
      <c r="L17" s="52"/>
      <c r="M17" s="18"/>
    </row>
    <row r="18" spans="1:13" x14ac:dyDescent="0.25">
      <c r="A18" s="13"/>
      <c r="B18" s="13"/>
      <c r="C18" s="13"/>
      <c r="D18" s="13"/>
      <c r="E18" s="13"/>
      <c r="F18" s="13"/>
      <c r="G18" s="13"/>
      <c r="H18" s="13"/>
      <c r="I18" s="14"/>
      <c r="J18" s="14"/>
      <c r="K18" s="15"/>
      <c r="L18" s="53"/>
      <c r="M18" s="13"/>
    </row>
    <row r="19" spans="1:13" x14ac:dyDescent="0.25">
      <c r="A19" s="13"/>
      <c r="B19" s="18"/>
      <c r="C19" s="18"/>
      <c r="D19" s="18"/>
      <c r="E19" s="18"/>
      <c r="F19" s="18"/>
      <c r="G19" s="18"/>
      <c r="H19" s="18"/>
      <c r="I19" s="19"/>
      <c r="J19" s="19"/>
      <c r="K19" s="20"/>
      <c r="L19" s="52"/>
      <c r="M19" s="18"/>
    </row>
    <row r="20" spans="1:13" x14ac:dyDescent="0.25">
      <c r="A20" s="13"/>
      <c r="B20" s="18"/>
      <c r="C20" s="18"/>
      <c r="D20" s="18"/>
      <c r="E20" s="18"/>
      <c r="F20" s="18"/>
      <c r="G20" s="18"/>
      <c r="H20" s="18"/>
      <c r="I20" s="19"/>
      <c r="J20" s="19"/>
      <c r="K20" s="20"/>
      <c r="L20" s="52"/>
      <c r="M20" s="18"/>
    </row>
    <row r="21" spans="1:13" x14ac:dyDescent="0.25">
      <c r="A21" s="13"/>
      <c r="B21" s="18"/>
      <c r="C21" s="18"/>
      <c r="D21" s="18"/>
      <c r="E21" s="18"/>
      <c r="F21" s="18"/>
      <c r="G21" s="18"/>
      <c r="H21" s="18"/>
      <c r="I21" s="19"/>
      <c r="J21" s="19"/>
      <c r="K21" s="20"/>
      <c r="L21" s="52"/>
      <c r="M21" s="18"/>
    </row>
    <row r="22" spans="1:13" x14ac:dyDescent="0.25">
      <c r="A22" s="13"/>
      <c r="B22" s="18"/>
      <c r="C22" s="18"/>
      <c r="D22" s="18"/>
      <c r="E22" s="18"/>
      <c r="F22" s="18"/>
      <c r="G22" s="18"/>
      <c r="H22" s="18"/>
      <c r="I22" s="19"/>
      <c r="J22" s="19"/>
      <c r="K22" s="20"/>
      <c r="L22" s="52"/>
      <c r="M22" s="18"/>
    </row>
    <row r="23" spans="1:13" x14ac:dyDescent="0.25">
      <c r="A23" s="13"/>
      <c r="B23" s="18"/>
      <c r="C23" s="18"/>
      <c r="D23" s="18"/>
      <c r="E23" s="18"/>
      <c r="F23" s="18"/>
      <c r="G23" s="18"/>
      <c r="H23" s="18"/>
      <c r="I23" s="19"/>
      <c r="J23" s="19"/>
      <c r="K23" s="20"/>
      <c r="L23" s="52"/>
      <c r="M23" s="18"/>
    </row>
    <row r="24" spans="1:13" x14ac:dyDescent="0.25">
      <c r="A24" s="18"/>
      <c r="B24" s="18"/>
      <c r="C24" s="18"/>
      <c r="D24" s="18"/>
      <c r="E24" s="18"/>
      <c r="F24" s="18"/>
      <c r="G24" s="18"/>
      <c r="H24" s="18"/>
      <c r="I24" s="19"/>
      <c r="J24" s="19"/>
      <c r="K24" s="20"/>
      <c r="L24" s="52"/>
      <c r="M24" s="18"/>
    </row>
    <row r="25" spans="1:13" x14ac:dyDescent="0.25">
      <c r="A25" s="18"/>
      <c r="B25" s="18"/>
      <c r="C25" s="18"/>
      <c r="D25" s="18"/>
      <c r="E25" s="18"/>
      <c r="F25" s="18"/>
      <c r="G25" s="18"/>
      <c r="H25" s="18"/>
      <c r="I25" s="19"/>
      <c r="J25" s="19"/>
      <c r="K25" s="20"/>
      <c r="L25" s="52"/>
      <c r="M25" s="18"/>
    </row>
    <row r="26" spans="1:13" x14ac:dyDescent="0.25">
      <c r="A26" s="18"/>
      <c r="B26" s="18"/>
      <c r="C26" s="18"/>
      <c r="D26" s="18"/>
      <c r="E26" s="18"/>
      <c r="F26" s="18"/>
      <c r="G26" s="18"/>
      <c r="H26" s="18"/>
      <c r="I26" s="19"/>
      <c r="J26" s="19"/>
      <c r="K26" s="20"/>
      <c r="L26" s="52"/>
      <c r="M26" s="18"/>
    </row>
    <row r="27" spans="1:13" x14ac:dyDescent="0.25">
      <c r="A27" s="18"/>
      <c r="B27" s="18"/>
      <c r="C27" s="18"/>
      <c r="D27" s="18"/>
      <c r="E27" s="18"/>
      <c r="F27" s="18"/>
      <c r="G27" s="18"/>
      <c r="H27" s="18"/>
      <c r="I27" s="19"/>
      <c r="J27" s="19"/>
      <c r="K27" s="20"/>
      <c r="L27" s="52"/>
      <c r="M27" s="18"/>
    </row>
    <row r="28" spans="1:13" x14ac:dyDescent="0.25">
      <c r="A28" s="18"/>
      <c r="B28" s="18"/>
      <c r="C28" s="18"/>
      <c r="D28" s="18"/>
      <c r="E28" s="18"/>
      <c r="F28" s="18"/>
      <c r="G28" s="18"/>
      <c r="H28" s="18"/>
      <c r="I28" s="19"/>
      <c r="J28" s="19"/>
      <c r="K28" s="20"/>
      <c r="L28" s="52"/>
      <c r="M28" s="18"/>
    </row>
    <row r="29" spans="1:13" x14ac:dyDescent="0.25">
      <c r="A29" s="18"/>
      <c r="B29" s="18"/>
      <c r="C29" s="18"/>
      <c r="D29" s="18"/>
      <c r="E29" s="18"/>
      <c r="F29" s="18"/>
      <c r="G29" s="18"/>
      <c r="H29" s="18"/>
      <c r="I29" s="14"/>
      <c r="J29" s="14"/>
      <c r="K29" s="20"/>
      <c r="L29" s="53"/>
      <c r="M29" s="13"/>
    </row>
    <row r="30" spans="1:13" x14ac:dyDescent="0.25">
      <c r="A30" s="18"/>
      <c r="B30" s="18"/>
      <c r="C30" s="18"/>
      <c r="D30" s="18"/>
      <c r="E30" s="18"/>
      <c r="F30" s="18"/>
      <c r="G30" s="18"/>
      <c r="H30" s="18"/>
      <c r="I30" s="14"/>
      <c r="J30" s="14"/>
      <c r="K30" s="20"/>
      <c r="L30" s="50"/>
      <c r="M30" s="50"/>
    </row>
    <row r="31" spans="1:13" x14ac:dyDescent="0.25">
      <c r="A31" s="18"/>
      <c r="B31" s="18"/>
      <c r="C31" s="18"/>
      <c r="D31" s="18"/>
      <c r="E31" s="18"/>
      <c r="F31" s="18"/>
      <c r="G31" s="18"/>
      <c r="H31" s="18"/>
      <c r="I31" s="14"/>
      <c r="J31" s="14"/>
      <c r="K31" s="15"/>
      <c r="L31" s="50"/>
      <c r="M31" s="50"/>
    </row>
    <row r="32" spans="1:13" x14ac:dyDescent="0.25">
      <c r="A32" s="18"/>
      <c r="B32" s="18"/>
      <c r="C32" s="18"/>
      <c r="D32" s="18"/>
      <c r="E32" s="18"/>
      <c r="F32" s="18"/>
      <c r="G32" s="18"/>
      <c r="H32" s="18"/>
      <c r="I32" s="14"/>
      <c r="J32" s="14"/>
      <c r="K32" s="15"/>
      <c r="L32" s="55"/>
      <c r="M32" s="50"/>
    </row>
  </sheetData>
  <mergeCells count="2">
    <mergeCell ref="A3:M3"/>
    <mergeCell ref="A7:M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Captaciones Año 2024</vt:lpstr>
      <vt:lpstr>Captaciones Año 2025</vt:lpstr>
      <vt:lpstr>Captaciones por Agentes</vt:lpstr>
      <vt:lpstr>Reservas</vt:lpstr>
      <vt:lpstr>Ventas - Alquileres</vt:lpstr>
      <vt:lpstr>Puntas</vt:lpstr>
      <vt:lpstr>TOP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Goncalves</dc:creator>
  <cp:lastModifiedBy>Luis Leon</cp:lastModifiedBy>
  <dcterms:created xsi:type="dcterms:W3CDTF">2024-12-12T19:46:31Z</dcterms:created>
  <dcterms:modified xsi:type="dcterms:W3CDTF">2026-01-06T21:11:33Z</dcterms:modified>
</cp:coreProperties>
</file>