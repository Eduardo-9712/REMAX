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MAX\OFICINA INFORMACION GENERAL\"/>
    </mc:Choice>
  </mc:AlternateContent>
  <xr:revisionPtr revIDLastSave="0" documentId="13_ncr:1_{CB79161F-2119-43D1-A141-42882A5797BE}" xr6:coauthVersionLast="47" xr6:coauthVersionMax="47" xr10:uidLastSave="{00000000-0000-0000-0000-000000000000}"/>
  <bookViews>
    <workbookView xWindow="120" yWindow="75" windowWidth="14265" windowHeight="15525" firstSheet="10" activeTab="15" xr2:uid="{11C01EE2-16D9-4BF8-BBA3-13AC5617B6D0}"/>
  </bookViews>
  <sheets>
    <sheet name="Captaciones Año 2025" sheetId="18" r:id="rId1"/>
    <sheet name="Captaciones Año 2026" sheetId="20" r:id="rId2"/>
    <sheet name="Captaciones por Agentes" sheetId="2" r:id="rId3"/>
    <sheet name="Reservas" sheetId="3" r:id="rId4"/>
    <sheet name="Ventas - Alquileres" sheetId="4" r:id="rId5"/>
    <sheet name="Puntas" sheetId="19" r:id="rId6"/>
    <sheet name="TOP" sheetId="5" r:id="rId7"/>
    <sheet name="Enero" sheetId="6" r:id="rId8"/>
    <sheet name="Febrero" sheetId="7" r:id="rId9"/>
    <sheet name="Marzo" sheetId="8" r:id="rId10"/>
    <sheet name="Abril" sheetId="9" r:id="rId11"/>
    <sheet name="Mayo" sheetId="10" r:id="rId12"/>
    <sheet name="Junio" sheetId="11" r:id="rId13"/>
    <sheet name="Julio" sheetId="12" r:id="rId14"/>
    <sheet name="Agosto" sheetId="13" r:id="rId15"/>
    <sheet name="Septiembre" sheetId="14" r:id="rId16"/>
    <sheet name="Octubre" sheetId="15" r:id="rId17"/>
    <sheet name="Noviembre" sheetId="16" r:id="rId18"/>
    <sheet name="Diciembre" sheetId="17" r:id="rId19"/>
  </sheets>
  <definedNames>
    <definedName name="_xlnm._FilterDatabase" localSheetId="0" hidden="1">'Captaciones Año 2025'!$A$6:$M$191</definedName>
    <definedName name="_xlnm._FilterDatabase" localSheetId="1" hidden="1">'Captaciones Año 2026'!$A$6:$M$113</definedName>
    <definedName name="_xlnm._FilterDatabase" localSheetId="4" hidden="1">'Ventas - Alquileres'!$A$6:$J$50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8" i="3" l="1"/>
  <c r="L58" i="19"/>
  <c r="L57" i="19"/>
  <c r="L56" i="19"/>
  <c r="L55" i="19"/>
  <c r="L53" i="19"/>
  <c r="L54" i="19"/>
  <c r="J58" i="19"/>
  <c r="J57" i="19"/>
  <c r="J56" i="19"/>
  <c r="J55" i="19"/>
  <c r="J54" i="19"/>
  <c r="J53" i="19"/>
  <c r="L51" i="19"/>
  <c r="J51" i="19"/>
  <c r="L50" i="19"/>
  <c r="J50" i="19"/>
  <c r="L49" i="19"/>
  <c r="J49" i="19"/>
  <c r="I58" i="19"/>
  <c r="I57" i="19"/>
  <c r="I56" i="19"/>
  <c r="I55" i="19"/>
  <c r="I54" i="19"/>
  <c r="I53" i="19"/>
  <c r="M46" i="3"/>
  <c r="M44" i="3"/>
  <c r="M43" i="3"/>
  <c r="M41" i="3"/>
  <c r="M40" i="3"/>
  <c r="M39" i="3"/>
  <c r="I51" i="19"/>
  <c r="I50" i="19"/>
  <c r="L47" i="19"/>
  <c r="J47" i="19"/>
  <c r="L45" i="19"/>
  <c r="L46" i="19"/>
  <c r="J46" i="19"/>
  <c r="J45" i="19"/>
  <c r="I47" i="19"/>
  <c r="I45" i="19"/>
  <c r="M35" i="3"/>
  <c r="I43" i="19"/>
  <c r="L42" i="19"/>
  <c r="J42" i="19"/>
  <c r="E44" i="2"/>
  <c r="L43" i="19" l="1"/>
  <c r="J43" i="19"/>
  <c r="I41" i="19"/>
  <c r="J41" i="19" s="1"/>
  <c r="I40" i="19"/>
  <c r="L40" i="19" s="1"/>
  <c r="L38" i="19"/>
  <c r="J38" i="19"/>
  <c r="L37" i="19"/>
  <c r="J37" i="19"/>
  <c r="I37" i="19"/>
  <c r="L36" i="19"/>
  <c r="L35" i="19"/>
  <c r="J36" i="19"/>
  <c r="J35" i="19"/>
  <c r="J34" i="19"/>
  <c r="L34" i="19" s="1"/>
  <c r="M31" i="3"/>
  <c r="M30" i="3"/>
  <c r="L55" i="20"/>
  <c r="L28" i="8"/>
  <c r="M28" i="3"/>
  <c r="M26" i="3"/>
  <c r="L32" i="19"/>
  <c r="L23" i="19"/>
  <c r="J19" i="19"/>
  <c r="I29" i="19"/>
  <c r="L29" i="19" s="1"/>
  <c r="I30" i="19"/>
  <c r="L30" i="19" s="1"/>
  <c r="I31" i="19"/>
  <c r="J31" i="19" s="1"/>
  <c r="I32" i="19"/>
  <c r="J32" i="19" s="1"/>
  <c r="I28" i="19"/>
  <c r="J28" i="19" s="1"/>
  <c r="I27" i="19"/>
  <c r="J27" i="19" s="1"/>
  <c r="I26" i="19"/>
  <c r="J26" i="19" s="1"/>
  <c r="I24" i="19"/>
  <c r="L24" i="19" s="1"/>
  <c r="I21" i="19"/>
  <c r="J21" i="19" s="1"/>
  <c r="I23" i="19"/>
  <c r="J23" i="19" s="1"/>
  <c r="I22" i="19"/>
  <c r="J22" i="19" s="1"/>
  <c r="I20" i="19"/>
  <c r="L20" i="19" s="1"/>
  <c r="I19" i="19"/>
  <c r="L19" i="19" s="1"/>
  <c r="I18" i="19"/>
  <c r="J18" i="19" s="1"/>
  <c r="L17" i="19"/>
  <c r="I17" i="19"/>
  <c r="J17" i="19" s="1"/>
  <c r="L15" i="19"/>
  <c r="J15" i="19"/>
  <c r="I16" i="19"/>
  <c r="L16" i="19" s="1"/>
  <c r="M24" i="3"/>
  <c r="J30" i="19" l="1"/>
  <c r="J16" i="19"/>
  <c r="J29" i="19"/>
  <c r="J24" i="19"/>
  <c r="J20" i="19"/>
  <c r="L28" i="19"/>
  <c r="L41" i="19"/>
  <c r="L26" i="19"/>
  <c r="L22" i="19"/>
  <c r="L27" i="19"/>
  <c r="L18" i="19"/>
  <c r="L21" i="19"/>
  <c r="L31" i="19"/>
  <c r="J40" i="19"/>
  <c r="I13" i="19"/>
  <c r="J13" i="19"/>
  <c r="L13" i="19"/>
  <c r="I12" i="19"/>
  <c r="J12" i="19" s="1"/>
  <c r="I11" i="19"/>
  <c r="L11" i="19" s="1"/>
  <c r="I10" i="19"/>
  <c r="J10" i="19" s="1"/>
  <c r="M23" i="3"/>
  <c r="M22" i="3"/>
  <c r="M20" i="3"/>
  <c r="M19" i="3"/>
  <c r="M18" i="3"/>
  <c r="M17" i="3"/>
  <c r="M16" i="3"/>
  <c r="I9" i="19"/>
  <c r="L9" i="19" s="1"/>
  <c r="I8" i="19"/>
  <c r="J8" i="19" s="1"/>
  <c r="L8" i="19" l="1"/>
  <c r="J9" i="19"/>
  <c r="L10" i="19"/>
  <c r="J11" i="19"/>
  <c r="L12" i="19"/>
  <c r="M15" i="3"/>
  <c r="M13" i="3"/>
  <c r="E86" i="2" l="1"/>
  <c r="M11" i="3"/>
  <c r="M10" i="3"/>
  <c r="M9" i="3"/>
  <c r="E80" i="2" l="1"/>
  <c r="E74" i="2"/>
  <c r="E67" i="2"/>
  <c r="E60" i="2" l="1"/>
  <c r="E55" i="2"/>
  <c r="E50" i="2"/>
  <c r="E35" i="2" l="1"/>
  <c r="E27" i="2"/>
  <c r="E20" i="2" l="1"/>
  <c r="E13" i="2" l="1"/>
</calcChain>
</file>

<file path=xl/sharedStrings.xml><?xml version="1.0" encoding="utf-8"?>
<sst xmlns="http://schemas.openxmlformats.org/spreadsheetml/2006/main" count="3588" uniqueCount="693">
  <si>
    <t xml:space="preserve">   REGISTRO DE INMUEBLES  RE/MAX DELTA</t>
  </si>
  <si>
    <t xml:space="preserve">  </t>
  </si>
  <si>
    <t>Ítems</t>
  </si>
  <si>
    <t>Agente</t>
  </si>
  <si>
    <t>Código Oficina</t>
  </si>
  <si>
    <t>Código NOVUS</t>
  </si>
  <si>
    <t>Tipo de Inmueble</t>
  </si>
  <si>
    <t>Urbanización</t>
  </si>
  <si>
    <t>Exclu</t>
  </si>
  <si>
    <t>A / V</t>
  </si>
  <si>
    <t>Fecha Captación</t>
  </si>
  <si>
    <t>Fecha Novus</t>
  </si>
  <si>
    <t>Precio Inicial</t>
  </si>
  <si>
    <t>Referido RE/MAX</t>
  </si>
  <si>
    <t>Observaciones</t>
  </si>
  <si>
    <t>ENERO</t>
  </si>
  <si>
    <t>Elsa Perez</t>
  </si>
  <si>
    <t>Apartamento</t>
  </si>
  <si>
    <t>S</t>
  </si>
  <si>
    <t>V</t>
  </si>
  <si>
    <t>N</t>
  </si>
  <si>
    <t>A</t>
  </si>
  <si>
    <t>Doris Cornejo</t>
  </si>
  <si>
    <t>TH</t>
  </si>
  <si>
    <t>Casa</t>
  </si>
  <si>
    <t>Castillejo, El Escorial</t>
  </si>
  <si>
    <t>José Castellanos</t>
  </si>
  <si>
    <t>Fondo de Comercio</t>
  </si>
  <si>
    <t>Ciudad Casarapa</t>
  </si>
  <si>
    <t>La Sabana</t>
  </si>
  <si>
    <t>Guatire, Calle Zamora</t>
  </si>
  <si>
    <t>FEBRERO</t>
  </si>
  <si>
    <t>Local Comercial</t>
  </si>
  <si>
    <t>MARZO</t>
  </si>
  <si>
    <t>La Sabana, El Marques</t>
  </si>
  <si>
    <t>ABRIL</t>
  </si>
  <si>
    <t>Buenaventura Suites</t>
  </si>
  <si>
    <t>Galpón</t>
  </si>
  <si>
    <t>Ciudad Casarapa, Parcela 6</t>
  </si>
  <si>
    <t>MAYO</t>
  </si>
  <si>
    <t>Falta Doc de Propiedad</t>
  </si>
  <si>
    <t>Local</t>
  </si>
  <si>
    <t>JUNIO</t>
  </si>
  <si>
    <t>Terreno</t>
  </si>
  <si>
    <t>El Marques</t>
  </si>
  <si>
    <t>Consultorio</t>
  </si>
  <si>
    <t>C.C. El Castillejo</t>
  </si>
  <si>
    <t>Guarenas, Aconcagua</t>
  </si>
  <si>
    <t>Oficina</t>
  </si>
  <si>
    <t>JULIO</t>
  </si>
  <si>
    <t>Luis León</t>
  </si>
  <si>
    <t>PH</t>
  </si>
  <si>
    <t>AGOSTO</t>
  </si>
  <si>
    <t>Ciudad Casarapa Parcela 7</t>
  </si>
  <si>
    <t>El Refugio</t>
  </si>
  <si>
    <t>SEPTIEMBRE</t>
  </si>
  <si>
    <t>C.C. Compro, Las Barrancas</t>
  </si>
  <si>
    <t>VIP Lido - Danny Isturiz</t>
  </si>
  <si>
    <t>Life - Marianghella Vargas</t>
  </si>
  <si>
    <t>OCTUBRE</t>
  </si>
  <si>
    <t>Guatire, Calle 9 de Diciembre</t>
  </si>
  <si>
    <t>NOVIEMBRE</t>
  </si>
  <si>
    <t>Guatire, Parque Residencial Guatire</t>
  </si>
  <si>
    <t>Terrazas del Este, Guarenas</t>
  </si>
  <si>
    <t>DICIEMBRE</t>
  </si>
  <si>
    <t>Magnum - Hexer Pacheco</t>
  </si>
  <si>
    <t>Castillejo, Los Robles</t>
  </si>
  <si>
    <t>Delta - Luis León</t>
  </si>
  <si>
    <t>Cantidad Captaciones</t>
  </si>
  <si>
    <t>TOTAL INMUEBLES</t>
  </si>
  <si>
    <t xml:space="preserve">   REGISTRO DE INMUEBLES EN RESERVA RE/MAX DELTA</t>
  </si>
  <si>
    <t>Fecha Listada</t>
  </si>
  <si>
    <t>Fecha de Reserva / Opc CompraVenta</t>
  </si>
  <si>
    <t>Precio Final</t>
  </si>
  <si>
    <t>Monto de la Reserva</t>
  </si>
  <si>
    <t>Pago del Documento</t>
  </si>
  <si>
    <t xml:space="preserve">   REGISTRO DE INMUEBLES VENDIDOS DE RE/MAX DELTA</t>
  </si>
  <si>
    <t>Fecha de Venta / Alquiler</t>
  </si>
  <si>
    <t>REFERIDO</t>
  </si>
  <si>
    <t xml:space="preserve">ENERO  </t>
  </si>
  <si>
    <t>Referido</t>
  </si>
  <si>
    <t>REGISTRO DE INMUEBLES  RE/MAX DELTA</t>
  </si>
  <si>
    <t>Valle Grande</t>
  </si>
  <si>
    <t>Altitud - Vanessa Jaimes</t>
  </si>
  <si>
    <t>0516-0646</t>
  </si>
  <si>
    <t>El Ingenio, Los Naranjos del Ingenio</t>
  </si>
  <si>
    <t>0156-0647</t>
  </si>
  <si>
    <t>0156-0648</t>
  </si>
  <si>
    <t>Las Barrancas, Edif Compro - Local Nro. 2-23</t>
  </si>
  <si>
    <t>0156-0649</t>
  </si>
  <si>
    <t>Las Barrancas, Edif Compro - Local Nro. 2-22</t>
  </si>
  <si>
    <t>0156-0650</t>
  </si>
  <si>
    <t>0156-0651</t>
  </si>
  <si>
    <t>Las Barrancas, Edif Compro - Local Nro. 1-13</t>
  </si>
  <si>
    <t>Las Barrancas, Edif Compro - Local Nro. 16</t>
  </si>
  <si>
    <t>0156-0652</t>
  </si>
  <si>
    <t>Las Margaritas, El Ingenio</t>
  </si>
  <si>
    <t>0156-0653</t>
  </si>
  <si>
    <t>Guarenas, Calle Federacion con Calle Vzla</t>
  </si>
  <si>
    <t>0156-0654</t>
  </si>
  <si>
    <t>El Marques, Los Cardenales</t>
  </si>
  <si>
    <t>0156-0655</t>
  </si>
  <si>
    <t>0156-0656</t>
  </si>
  <si>
    <t>0156-0657</t>
  </si>
  <si>
    <t>Higuerote, Maravillas del Mar</t>
  </si>
  <si>
    <t>0156-0658</t>
  </si>
  <si>
    <t>0156-0659</t>
  </si>
  <si>
    <t>0156-0660</t>
  </si>
  <si>
    <t>Higuerote, Villas de Fuente Mar 16-5A</t>
  </si>
  <si>
    <t>Higuerote, Villas de Fuente Mar 17B-2B</t>
  </si>
  <si>
    <t>4U- Jair Jacob Omar</t>
  </si>
  <si>
    <t>Vista Dorada</t>
  </si>
  <si>
    <t>Altitud - Ingrid León</t>
  </si>
  <si>
    <t>0156-0661</t>
  </si>
  <si>
    <t>Terra Gold - Crisbel Rodriguez</t>
  </si>
  <si>
    <t>0156-0662</t>
  </si>
  <si>
    <t>Castillejo, Montaña Linda</t>
  </si>
  <si>
    <t>0156-0663</t>
  </si>
  <si>
    <t>0156-0664</t>
  </si>
  <si>
    <t>C.C. Oasis Center</t>
  </si>
  <si>
    <t>Habitat - Yordelis Torres</t>
  </si>
  <si>
    <t>0156-0665</t>
  </si>
  <si>
    <t>0156-0666</t>
  </si>
  <si>
    <t>0156-0667</t>
  </si>
  <si>
    <t>Parque Alto</t>
  </si>
  <si>
    <t>TOP CAPTACIONES</t>
  </si>
  <si>
    <t>TOP CERRADORES</t>
  </si>
  <si>
    <t>Mes</t>
  </si>
  <si>
    <t>Nro de Captaciones</t>
  </si>
  <si>
    <t>TOP Captación</t>
  </si>
  <si>
    <t>Puntas</t>
  </si>
  <si>
    <t>TOP Cerrador</t>
  </si>
  <si>
    <t>Enero</t>
  </si>
  <si>
    <t>Febrero</t>
  </si>
  <si>
    <t>REGISTRO DE PUNTAS</t>
  </si>
  <si>
    <t>Comisión</t>
  </si>
  <si>
    <t>Primera Punta</t>
  </si>
  <si>
    <t>Segunda Punta</t>
  </si>
  <si>
    <t>0156-0668</t>
  </si>
  <si>
    <t>Castillejo, Jardines de Castillejo</t>
  </si>
  <si>
    <t>0156-0669</t>
  </si>
  <si>
    <t>Casa Bonita</t>
  </si>
  <si>
    <t>0156-0670</t>
  </si>
  <si>
    <t>Gran Costanera, Higuerote</t>
  </si>
  <si>
    <t>0156-0671</t>
  </si>
  <si>
    <t>0156-0672</t>
  </si>
  <si>
    <t>La Rosa, Moro Juan</t>
  </si>
  <si>
    <t>18/03/205</t>
  </si>
  <si>
    <t>-</t>
  </si>
  <si>
    <t>0156-0673</t>
  </si>
  <si>
    <t>Quiosco</t>
  </si>
  <si>
    <t>C.C.Castillejo</t>
  </si>
  <si>
    <t>0156-0674</t>
  </si>
  <si>
    <t>El Encantado I</t>
  </si>
  <si>
    <t>0156-0675</t>
  </si>
  <si>
    <t>Villas de Buenaventura</t>
  </si>
  <si>
    <t>0156-0676</t>
  </si>
  <si>
    <t>Palo Alto, El Ingenio</t>
  </si>
  <si>
    <t>Delta - Leopoldo Correa</t>
  </si>
  <si>
    <t>0156-0677</t>
  </si>
  <si>
    <t>0156-0678</t>
  </si>
  <si>
    <t>Las Barrancas, Sector Las Flores</t>
  </si>
  <si>
    <t>Momentum II - Vitor Da Silva</t>
  </si>
  <si>
    <t>0156-0679</t>
  </si>
  <si>
    <t>0156-0680</t>
  </si>
  <si>
    <t>Higuerote, Marina Suites</t>
  </si>
  <si>
    <r>
      <t>Galpon</t>
    </r>
    <r>
      <rPr>
        <sz val="10"/>
        <rFont val="Arial"/>
        <family val="2"/>
      </rPr>
      <t xml:space="preserve"> 1.710 Mts2</t>
    </r>
  </si>
  <si>
    <r>
      <t xml:space="preserve">Galpón </t>
    </r>
    <r>
      <rPr>
        <sz val="10"/>
        <rFont val="Arial"/>
        <family val="2"/>
      </rPr>
      <t>2.213 Mts2</t>
    </r>
  </si>
  <si>
    <t>Higuerote, Parque Costanera</t>
  </si>
  <si>
    <t>0156-0681</t>
  </si>
  <si>
    <t>Castillejo, Parque Habitat B</t>
  </si>
  <si>
    <t>0156-0682</t>
  </si>
  <si>
    <t>Plaza Oro, Guatire Plaza III</t>
  </si>
  <si>
    <t>Marzo</t>
  </si>
  <si>
    <t>Higuerote, La Marina Suites &amp; Beach</t>
  </si>
  <si>
    <t>0156-0683</t>
  </si>
  <si>
    <t>Guatire, Ipasme</t>
  </si>
  <si>
    <t>0156-0684</t>
  </si>
  <si>
    <t>0156-0685</t>
  </si>
  <si>
    <t>Los Portales I, Nva Casarapa</t>
  </si>
  <si>
    <t>Futuro - Xioly Vera Vivas</t>
  </si>
  <si>
    <t>Mervis Fernandez</t>
  </si>
  <si>
    <t>0156-0686</t>
  </si>
  <si>
    <t>Enrique Oliveri</t>
  </si>
  <si>
    <t>0156-0687</t>
  </si>
  <si>
    <t>Canaima II</t>
  </si>
  <si>
    <t>0156-0688</t>
  </si>
  <si>
    <t>Castillejo, La Esperanza I</t>
  </si>
  <si>
    <t>0156-0689</t>
  </si>
  <si>
    <t>Castillejo, La Alabarda</t>
  </si>
  <si>
    <t>Zaida Barillas</t>
  </si>
  <si>
    <t>0156-0690</t>
  </si>
  <si>
    <r>
      <t xml:space="preserve">El Marques, La Sabana </t>
    </r>
    <r>
      <rPr>
        <sz val="10"/>
        <rFont val="Arial"/>
        <family val="2"/>
      </rPr>
      <t>(Remodelado)</t>
    </r>
  </si>
  <si>
    <t>0156-0691</t>
  </si>
  <si>
    <t>Castillejo, Villa Hermosa</t>
  </si>
  <si>
    <t>0156-0692</t>
  </si>
  <si>
    <r>
      <t>El Marques, La Sabana</t>
    </r>
    <r>
      <rPr>
        <sz val="10"/>
        <rFont val="Arial"/>
        <family val="2"/>
      </rPr>
      <t xml:space="preserve"> (Obra Gris)</t>
    </r>
  </si>
  <si>
    <t>0156-0693</t>
  </si>
  <si>
    <t>Calle Zamora, Guatire</t>
  </si>
  <si>
    <t>0156-0694</t>
  </si>
  <si>
    <t>0156-0695</t>
  </si>
  <si>
    <t xml:space="preserve">Terreno </t>
  </si>
  <si>
    <t>Carenero, Higuerote</t>
  </si>
  <si>
    <t>Abba - Zaimy Brito</t>
  </si>
  <si>
    <t>0156-0696</t>
  </si>
  <si>
    <t>San Francisco</t>
  </si>
  <si>
    <t>0156-0697</t>
  </si>
  <si>
    <t>C.C. Castillejo</t>
  </si>
  <si>
    <t>0156-0698</t>
  </si>
  <si>
    <t>Parque Habitat El Ingenio</t>
  </si>
  <si>
    <t>Abril</t>
  </si>
  <si>
    <t>0156-0699</t>
  </si>
  <si>
    <t>Momentum II - Ricardo Dugarte</t>
  </si>
  <si>
    <t>0156-0700</t>
  </si>
  <si>
    <t>Country Club Buena Ventura</t>
  </si>
  <si>
    <t>VIP Cristal - Yolismar Alvarez</t>
  </si>
  <si>
    <t>0156-0701</t>
  </si>
  <si>
    <t>AptoQuinta</t>
  </si>
  <si>
    <t>0156-0702</t>
  </si>
  <si>
    <t>Presidente de Condominio</t>
  </si>
  <si>
    <t>0156-0703</t>
  </si>
  <si>
    <t>2Mil - Rosaura Navas</t>
  </si>
  <si>
    <t>0156-0704</t>
  </si>
  <si>
    <t>Higuerote, Villas Tucán</t>
  </si>
  <si>
    <t>Jardines de Castillejo</t>
  </si>
  <si>
    <t>0156-0705</t>
  </si>
  <si>
    <t>Guarenas, Conj. Res. Los Rosales</t>
  </si>
  <si>
    <t>0156-0708</t>
  </si>
  <si>
    <t>0156-0709</t>
  </si>
  <si>
    <t>Puerto Encantado, Mediterranee</t>
  </si>
  <si>
    <t>0156-0710</t>
  </si>
  <si>
    <t>Altos de Copacabana</t>
  </si>
  <si>
    <t>0156-0711</t>
  </si>
  <si>
    <t>Estancia Las Margaritas</t>
  </si>
  <si>
    <t>0156-0712</t>
  </si>
  <si>
    <t>Premier - Maria Gabriela Bassignano</t>
  </si>
  <si>
    <t>0156-0713</t>
  </si>
  <si>
    <t>Guatire, Caja de Agua</t>
  </si>
  <si>
    <t>0156-0714</t>
  </si>
  <si>
    <t>Los Pozos del Valle, Rio Grande</t>
  </si>
  <si>
    <t>Delta - Leopoldo  Correa</t>
  </si>
  <si>
    <t>0156-0715</t>
  </si>
  <si>
    <t>Altos de Izcaragua</t>
  </si>
  <si>
    <t>VIP Lido - Eduvigis Diaz</t>
  </si>
  <si>
    <t>0156-0716</t>
  </si>
  <si>
    <t>Villas de Fuente Mar, Higuerote</t>
  </si>
  <si>
    <t>0156-0717</t>
  </si>
  <si>
    <t>Mediterrane, Pto Encantado</t>
  </si>
  <si>
    <t>Urbe - Wendy Pacheco</t>
  </si>
  <si>
    <t>0156-01718</t>
  </si>
  <si>
    <t>Conj. Res. Aqua, Puerto Encantado</t>
  </si>
  <si>
    <t>Vip Cristal - Fulvio Marinoni</t>
  </si>
  <si>
    <t>Mayo</t>
  </si>
  <si>
    <t>0156-0719</t>
  </si>
  <si>
    <t>Rio Chico, Puerta del Mar La Playa</t>
  </si>
  <si>
    <t>0156-0720</t>
  </si>
  <si>
    <t>El Ingenio, Muralla Arriba</t>
  </si>
  <si>
    <t>0156-0721</t>
  </si>
  <si>
    <t>0156-0722</t>
  </si>
  <si>
    <t>Higuerote, Conj Turistico Brion</t>
  </si>
  <si>
    <t>2 Mil - Juan Sanchez</t>
  </si>
  <si>
    <t>0156-0723</t>
  </si>
  <si>
    <t>Higuerote, Parque Mar</t>
  </si>
  <si>
    <t>0156-0724</t>
  </si>
  <si>
    <t>Castillejo, Torreon</t>
  </si>
  <si>
    <t>Jose Castellanos</t>
  </si>
  <si>
    <t>0156-0725</t>
  </si>
  <si>
    <t>0156-0726</t>
  </si>
  <si>
    <t>C.C. Trapichito</t>
  </si>
  <si>
    <t>Realty - Gabriela Franquiz</t>
  </si>
  <si>
    <t>0156-0727</t>
  </si>
  <si>
    <t>Guarenas, Terrazas del Este</t>
  </si>
  <si>
    <t>Express - Ronald Sanchez</t>
  </si>
  <si>
    <t>0156-0728</t>
  </si>
  <si>
    <t>La Trinidad, Castillejo</t>
  </si>
  <si>
    <t>0156-0729</t>
  </si>
  <si>
    <t>0156-0730</t>
  </si>
  <si>
    <t>0156-0731</t>
  </si>
  <si>
    <t>Villa Heroica</t>
  </si>
  <si>
    <t>0156-0732</t>
  </si>
  <si>
    <t>Nueva Casarapa, El Fortin</t>
  </si>
  <si>
    <t>Life - Luz Villahermosa</t>
  </si>
  <si>
    <t>0156-0733</t>
  </si>
  <si>
    <t>Junio</t>
  </si>
  <si>
    <t>0156-0734</t>
  </si>
  <si>
    <t>C.C. Castillejo, PB</t>
  </si>
  <si>
    <t>0156-0735</t>
  </si>
  <si>
    <t>0156-0736</t>
  </si>
  <si>
    <t>0156-0737</t>
  </si>
  <si>
    <t>Carniceria 2 -Trapichito, Guarenas</t>
  </si>
  <si>
    <t>Carniceria - Trapichito, Guarenas</t>
  </si>
  <si>
    <t>0156-0738</t>
  </si>
  <si>
    <t>Nueva Casarapa, La Hacienda</t>
  </si>
  <si>
    <t>Champions - Yosmaira Villanera</t>
  </si>
  <si>
    <t>Frigorifico Super Carne 3000 (Super Carne 6)</t>
  </si>
  <si>
    <t>Local Fondo de Comercio</t>
  </si>
  <si>
    <t>0156-0739</t>
  </si>
  <si>
    <t>0156-0740</t>
  </si>
  <si>
    <t>Frigorifico Super Carne Guarenas</t>
  </si>
  <si>
    <t>0156-0741</t>
  </si>
  <si>
    <t>Frigorico Super Carne Guatire</t>
  </si>
  <si>
    <t>0156-0742</t>
  </si>
  <si>
    <t>Terrazas de Buenaventura II</t>
  </si>
  <si>
    <t>0156-0743</t>
  </si>
  <si>
    <t>Zona Industrial Cloris</t>
  </si>
  <si>
    <t>VIP Las Mercedes - Enysabel</t>
  </si>
  <si>
    <t>0156-0744</t>
  </si>
  <si>
    <t>Puerta del Bosque, Las Rosas</t>
  </si>
  <si>
    <t>0156-0745</t>
  </si>
  <si>
    <t>Ciudad Casarapa Parcela 1</t>
  </si>
  <si>
    <t>INMUEBLE REFERIDO POR HAYDEE</t>
  </si>
  <si>
    <t>0156-0746</t>
  </si>
  <si>
    <t>Villas de Fuente Mar</t>
  </si>
  <si>
    <t>0156-0747</t>
  </si>
  <si>
    <t>Negocio</t>
  </si>
  <si>
    <t>Frigorifico Super Carne, Guatire</t>
  </si>
  <si>
    <t>0156-0748</t>
  </si>
  <si>
    <t>Licoreria Guarenas, Guatire</t>
  </si>
  <si>
    <t>0156-0749</t>
  </si>
  <si>
    <t>0156-0750</t>
  </si>
  <si>
    <t>Carniceria, Guarenas</t>
  </si>
  <si>
    <t>0156-0751</t>
  </si>
  <si>
    <t>C.C. BuenaVentura</t>
  </si>
  <si>
    <t>0156-0752</t>
  </si>
  <si>
    <t>Terrazas de San Pedro I</t>
  </si>
  <si>
    <t>0156-0756</t>
  </si>
  <si>
    <t>Parque Habitat</t>
  </si>
  <si>
    <t>Presidente Condominio</t>
  </si>
  <si>
    <t>0156-0757</t>
  </si>
  <si>
    <t>La Trinidad Castillejo</t>
  </si>
  <si>
    <t>Julio</t>
  </si>
  <si>
    <t>0156-0758</t>
  </si>
  <si>
    <t>Carniceria 4 Esquinas, Guatire</t>
  </si>
  <si>
    <t>0156-0759</t>
  </si>
  <si>
    <t>Carniceria, Centro Guarenas</t>
  </si>
  <si>
    <t>0156-0760</t>
  </si>
  <si>
    <t>Costa Grande, Higuerote</t>
  </si>
  <si>
    <t>0156-0761</t>
  </si>
  <si>
    <t>Parque Palma, Higuerote</t>
  </si>
  <si>
    <t>0156-0762</t>
  </si>
  <si>
    <t>Muralla Arriba</t>
  </si>
  <si>
    <t>0156-0763</t>
  </si>
  <si>
    <t>Licoreria</t>
  </si>
  <si>
    <t>Guarenas</t>
  </si>
  <si>
    <t>0156-0764</t>
  </si>
  <si>
    <t>La Alabarda, Castillejo</t>
  </si>
  <si>
    <t>0156-0765</t>
  </si>
  <si>
    <t>Buenaventura suites</t>
  </si>
  <si>
    <t>0156-0766</t>
  </si>
  <si>
    <t>Habitat - Lizmar Larez</t>
  </si>
  <si>
    <t>0156-0767</t>
  </si>
  <si>
    <t>0156-0768</t>
  </si>
  <si>
    <t>C.C. Castillejo, Piso 1</t>
  </si>
  <si>
    <t>0156-0769</t>
  </si>
  <si>
    <t>0156-0770</t>
  </si>
  <si>
    <t>0156-0771</t>
  </si>
  <si>
    <t>0156-0772</t>
  </si>
  <si>
    <t>0156-0773</t>
  </si>
  <si>
    <t>0156-0774</t>
  </si>
  <si>
    <t>0156-0775</t>
  </si>
  <si>
    <t>0156-0778</t>
  </si>
  <si>
    <t>Las Bonitas, Castillejo</t>
  </si>
  <si>
    <t>0156-0779</t>
  </si>
  <si>
    <t>Jardin de Higuerote, Brion</t>
  </si>
  <si>
    <t>Altitud - Maria Calderon</t>
  </si>
  <si>
    <t>0156-0780</t>
  </si>
  <si>
    <t>Nva. Casarapa, La Molienda</t>
  </si>
  <si>
    <t>0156-0781</t>
  </si>
  <si>
    <t>0156-0782</t>
  </si>
  <si>
    <t>Canaima IV</t>
  </si>
  <si>
    <t>Innova - Angelica Lacruz (CHILE)</t>
  </si>
  <si>
    <t>Vicente Emilio Sojo, Guatire</t>
  </si>
  <si>
    <t>C.C. Trapichito, Guarenas</t>
  </si>
  <si>
    <t>Calle Comercio, Guarenas</t>
  </si>
  <si>
    <t>Villas del Este, Guatire</t>
  </si>
  <si>
    <t>Premier - Suhaili Angulo Cabana</t>
  </si>
  <si>
    <t>0156-0776</t>
  </si>
  <si>
    <t>0156-0777</t>
  </si>
  <si>
    <t>C.C. Vista Place</t>
  </si>
  <si>
    <t>Aconcagua, Guarenas</t>
  </si>
  <si>
    <t>Casa Bonita, Villa Heroica</t>
  </si>
  <si>
    <t>Resid Aqua, Pto Encantado</t>
  </si>
  <si>
    <t>Conj. Res. Los Gabanes, Higuerote</t>
  </si>
  <si>
    <t>Escala -Alicia Lopez Tavares</t>
  </si>
  <si>
    <t>0156-0783</t>
  </si>
  <si>
    <t>Calle 9 de Diciembre</t>
  </si>
  <si>
    <t>Los Olivos, Guatire</t>
  </si>
  <si>
    <t>Colinas de Mondragon, Higuerote</t>
  </si>
  <si>
    <t>Los Chaguaramos, Valle Arriba</t>
  </si>
  <si>
    <t>0156-0784</t>
  </si>
  <si>
    <t>0156-0785</t>
  </si>
  <si>
    <t>0156-0786</t>
  </si>
  <si>
    <t>Premier - Maria Bassignano</t>
  </si>
  <si>
    <t>0156-0787</t>
  </si>
  <si>
    <t>Muralla Arriba, El Ingenio</t>
  </si>
  <si>
    <t>0156-0788</t>
  </si>
  <si>
    <t>Valle Arriba, Capri</t>
  </si>
  <si>
    <t>Agosto</t>
  </si>
  <si>
    <t>Septiembre</t>
  </si>
  <si>
    <t>Octubre</t>
  </si>
  <si>
    <t>0156-0789</t>
  </si>
  <si>
    <t>Puerto Encantado, Pueblo Viejo II</t>
  </si>
  <si>
    <t>0156-0790</t>
  </si>
  <si>
    <t>Mediterrane, Agua Sal</t>
  </si>
  <si>
    <t>0156-0791</t>
  </si>
  <si>
    <t>Higuerote, Cabo Mall</t>
  </si>
  <si>
    <t>0156-0792</t>
  </si>
  <si>
    <t>0156-0794</t>
  </si>
  <si>
    <t>0156-0793</t>
  </si>
  <si>
    <t>0156-0795</t>
  </si>
  <si>
    <t>Higuerote, Bodegon AVELDA</t>
  </si>
  <si>
    <t>Panaderia</t>
  </si>
  <si>
    <t>Higuerote, Centro</t>
  </si>
  <si>
    <t>Atlantis - Maria José Ferlicchia</t>
  </si>
  <si>
    <t>0156-0796</t>
  </si>
  <si>
    <t>0156-0797</t>
  </si>
  <si>
    <t>Las Rosa, El Istmo</t>
  </si>
  <si>
    <t>Altitud - Libia Angarita Echevarria</t>
  </si>
  <si>
    <t>Higuerote, Pueblo - Tasca</t>
  </si>
  <si>
    <t>Higuerote, Pueblo - El Sitio</t>
  </si>
  <si>
    <t>Guarenas, Licoreria</t>
  </si>
  <si>
    <t>Delta - Luis León (Freddy)</t>
  </si>
  <si>
    <t>Residencias Pompa, Guatire</t>
  </si>
  <si>
    <t>Edificio</t>
  </si>
  <si>
    <t>Ciudad Balneario, Higuerote</t>
  </si>
  <si>
    <t>Gold - Vanessa Tadeo</t>
  </si>
  <si>
    <t>Concor Plaza, Montalban - Caracas</t>
  </si>
  <si>
    <t>Terrazas Altos de San Pedro II</t>
  </si>
  <si>
    <t>Villa</t>
  </si>
  <si>
    <t>Shaboo Laguna (K26), Higuerote</t>
  </si>
  <si>
    <t>Shaboo Laguna (K27), Higuerote</t>
  </si>
  <si>
    <t>Noviembre</t>
  </si>
  <si>
    <t>C.C. Buenaventura</t>
  </si>
  <si>
    <t>C.C. Buenaventura, Expoventura</t>
  </si>
  <si>
    <t>0156-0798</t>
  </si>
  <si>
    <t>0156-0799</t>
  </si>
  <si>
    <t>Eiffel, Castillejo</t>
  </si>
  <si>
    <t>AÑO 2025</t>
  </si>
  <si>
    <t>Alianza con Jeanmanuela</t>
  </si>
  <si>
    <t>Enrique</t>
  </si>
  <si>
    <t>Gabriel</t>
  </si>
  <si>
    <t>Alianza con Jacqueline España</t>
  </si>
  <si>
    <t>El Torreon, Castillejo</t>
  </si>
  <si>
    <t>0156-0802</t>
  </si>
  <si>
    <t>0156-801</t>
  </si>
  <si>
    <t>El Encantado II</t>
  </si>
  <si>
    <t>0156-0801</t>
  </si>
  <si>
    <t>0156-0803</t>
  </si>
  <si>
    <t>0156-0804</t>
  </si>
  <si>
    <t>C.C. Oasis</t>
  </si>
  <si>
    <t>0156-0805</t>
  </si>
  <si>
    <t>C.C. Macaira Plaza, Guatire</t>
  </si>
  <si>
    <t>Oasis Center</t>
  </si>
  <si>
    <t>0156-0806</t>
  </si>
  <si>
    <t>0156-0807</t>
  </si>
  <si>
    <t>Fuenteventura, Castillejo</t>
  </si>
  <si>
    <t>0156-0808</t>
  </si>
  <si>
    <t>Castillejo, Fuente Ventura</t>
  </si>
  <si>
    <t>Ferling Oliveros</t>
  </si>
  <si>
    <t>Alianza con Enrique Oliveri</t>
  </si>
  <si>
    <t xml:space="preserve">Local </t>
  </si>
  <si>
    <t>Guatire, C.C. Macaira Plaza</t>
  </si>
  <si>
    <t>0156-0809</t>
  </si>
  <si>
    <t>Alianza con Century 21</t>
  </si>
  <si>
    <t>Elsa</t>
  </si>
  <si>
    <t>Doris</t>
  </si>
  <si>
    <t>Jacqueline</t>
  </si>
  <si>
    <t>Yerly Guevara</t>
  </si>
  <si>
    <t>Enrique y Castellanos</t>
  </si>
  <si>
    <t>Bronson Ruiz</t>
  </si>
  <si>
    <t>0156-0810</t>
  </si>
  <si>
    <t>Tacarigua de Mamporal</t>
  </si>
  <si>
    <t>0156-0811</t>
  </si>
  <si>
    <t>0156-0812</t>
  </si>
  <si>
    <t>Higuerote, La Playa Aguasal</t>
  </si>
  <si>
    <t>0156-0813</t>
  </si>
  <si>
    <t>Higuerote, Alcaravanes III</t>
  </si>
  <si>
    <t>0156-0814</t>
  </si>
  <si>
    <t>Castillejo, Castejón</t>
  </si>
  <si>
    <t>0156-0815</t>
  </si>
  <si>
    <t>0156-0816</t>
  </si>
  <si>
    <t>Higuerote, Las Palmeras</t>
  </si>
  <si>
    <t>Momentum II - Javier Alzuarde</t>
  </si>
  <si>
    <t>Castellanos</t>
  </si>
  <si>
    <t>Jorcy</t>
  </si>
  <si>
    <t>0156-0817</t>
  </si>
  <si>
    <t>Higuerote, Conj Res La Tortuga</t>
  </si>
  <si>
    <t>13/02//2026</t>
  </si>
  <si>
    <t>0156-0818</t>
  </si>
  <si>
    <t>Villa Avila, Guatire</t>
  </si>
  <si>
    <t>Doris Cornjeo</t>
  </si>
  <si>
    <t>Ciudad Casarapa Parcela 25</t>
  </si>
  <si>
    <t>0156-0833</t>
  </si>
  <si>
    <t>0156-0835</t>
  </si>
  <si>
    <t>0156-0832</t>
  </si>
  <si>
    <t>El Ingenio, Las Lomas</t>
  </si>
  <si>
    <t>0156-0828</t>
  </si>
  <si>
    <t>0156-0831</t>
  </si>
  <si>
    <t>0156-0830</t>
  </si>
  <si>
    <t>0156-0827</t>
  </si>
  <si>
    <t>Rio Chico, Los Canales</t>
  </si>
  <si>
    <t>Castillejo, La Trinidad</t>
  </si>
  <si>
    <t>0156-0826</t>
  </si>
  <si>
    <t>Camino Real, La Moncloa</t>
  </si>
  <si>
    <t>0156-0825</t>
  </si>
  <si>
    <t>0156-0819</t>
  </si>
  <si>
    <t>0156-0820</t>
  </si>
  <si>
    <t>0156-0821</t>
  </si>
  <si>
    <t>0156-0822</t>
  </si>
  <si>
    <t>0156-0823</t>
  </si>
  <si>
    <t>0156-0824</t>
  </si>
  <si>
    <t>Rio Chico, Puerto Plata</t>
  </si>
  <si>
    <t>Frutas Condominio</t>
  </si>
  <si>
    <t>SUSPENDIDO</t>
  </si>
  <si>
    <t>Los Portales II</t>
  </si>
  <si>
    <t>0156-0829</t>
  </si>
  <si>
    <t>0156-0834</t>
  </si>
  <si>
    <t>Ciudad Casarapa Parcela 6</t>
  </si>
  <si>
    <t>Calle Zamora</t>
  </si>
  <si>
    <t>Castillejo, El Eiffel</t>
  </si>
  <si>
    <t>Centro Industrial Cloris</t>
  </si>
  <si>
    <t>Bronson</t>
  </si>
  <si>
    <t>JeanManuela</t>
  </si>
  <si>
    <t>Milagros</t>
  </si>
  <si>
    <t>Ferling</t>
  </si>
  <si>
    <t>Emy</t>
  </si>
  <si>
    <t>Century</t>
  </si>
  <si>
    <t>0156-0836</t>
  </si>
  <si>
    <t>0156-0837</t>
  </si>
  <si>
    <t>0156-0838</t>
  </si>
  <si>
    <t>0156-0839</t>
  </si>
  <si>
    <t>0156-0840</t>
  </si>
  <si>
    <t>C.C. Compro</t>
  </si>
  <si>
    <t>0156-0841</t>
  </si>
  <si>
    <t>Higuerote, Ciudad Balneario</t>
  </si>
  <si>
    <t>0156-0842</t>
  </si>
  <si>
    <t>Higuerote, Agua Sal, Caracolito</t>
  </si>
  <si>
    <t>VIP Lido - Laura Acevedo</t>
  </si>
  <si>
    <t>For You - Elizabeth Borrego</t>
  </si>
  <si>
    <t>0156-0843</t>
  </si>
  <si>
    <t>0156-0844</t>
  </si>
  <si>
    <t>Edif IPASME</t>
  </si>
  <si>
    <t>0156-0845</t>
  </si>
  <si>
    <t>Las Rosas, El Istmo</t>
  </si>
  <si>
    <t>0156-0846</t>
  </si>
  <si>
    <t>0156-0847</t>
  </si>
  <si>
    <t>Valle Arriba, Jardines de Pacairigua</t>
  </si>
  <si>
    <t>0156-0848</t>
  </si>
  <si>
    <t>Nueva Casarapa, El Trapiche</t>
  </si>
  <si>
    <t>Joelin Nieto</t>
  </si>
  <si>
    <t>0156-0849</t>
  </si>
  <si>
    <t>Guarenas, Los Naranjos</t>
  </si>
  <si>
    <t>Life - Genesis Depablos</t>
  </si>
  <si>
    <t>0156-0850</t>
  </si>
  <si>
    <t>Rio Chico, El Jobo</t>
  </si>
  <si>
    <t>Life - Mary León</t>
  </si>
  <si>
    <t>0156-0851</t>
  </si>
  <si>
    <t>0156-0852</t>
  </si>
  <si>
    <t>Valle Arriba, San Antonio</t>
  </si>
  <si>
    <t>0156-0853</t>
  </si>
  <si>
    <t>0156-0854</t>
  </si>
  <si>
    <t>Higuerote, Villas Partenope</t>
  </si>
  <si>
    <t>Gold III - Nicole Pinedo</t>
  </si>
  <si>
    <t>0156-0855</t>
  </si>
  <si>
    <t>Nueva Casarapa, La Molienda</t>
  </si>
  <si>
    <t>New Home - Veronica Guillen</t>
  </si>
  <si>
    <t>0156-856</t>
  </si>
  <si>
    <t>Buena Vista</t>
  </si>
  <si>
    <t>Rio Chico, Los Jobos</t>
  </si>
  <si>
    <t>Delta - Luis Leon (2da Punta)</t>
  </si>
  <si>
    <t>Habitat - Norevy Cortez</t>
  </si>
  <si>
    <t>Alianza Jacqueline Centuri 21</t>
  </si>
  <si>
    <t>Ferlin Oliveros</t>
  </si>
  <si>
    <t>0156-0856</t>
  </si>
  <si>
    <t>0156-0857</t>
  </si>
  <si>
    <t>Nueva Casarapa La Molienda</t>
  </si>
  <si>
    <t>Terra Gold - Veronica Guillen</t>
  </si>
  <si>
    <t>0156-0858</t>
  </si>
  <si>
    <t>Valle Arriba, Ginebra</t>
  </si>
  <si>
    <t>0156-0859</t>
  </si>
  <si>
    <t>Guarenas (5 de Julio)</t>
  </si>
  <si>
    <t>0156-0860</t>
  </si>
  <si>
    <t>Las Rosas, El Mirador</t>
  </si>
  <si>
    <t>0156-0861</t>
  </si>
  <si>
    <t>0156-0862</t>
  </si>
  <si>
    <t>Altos Terrazas de San Pedro</t>
  </si>
  <si>
    <t>0156-0863</t>
  </si>
  <si>
    <t>Enrique Castillejo</t>
  </si>
  <si>
    <t>0156-0864</t>
  </si>
  <si>
    <t>Castillejo, El Torreón</t>
  </si>
  <si>
    <t>0156-0865</t>
  </si>
  <si>
    <t>El Desvio</t>
  </si>
  <si>
    <t>0156-0866</t>
  </si>
  <si>
    <t xml:space="preserve">Castillejo, La Esperanza </t>
  </si>
  <si>
    <t>0156-0867</t>
  </si>
  <si>
    <t>0156-0868</t>
  </si>
  <si>
    <t>0156-0869</t>
  </si>
  <si>
    <t>Castillejo, La Casona</t>
  </si>
  <si>
    <t>Venehouse</t>
  </si>
  <si>
    <t>Century 21</t>
  </si>
  <si>
    <t>0156-0870</t>
  </si>
  <si>
    <t>0156-0871</t>
  </si>
  <si>
    <t>0156-0872</t>
  </si>
  <si>
    <t>0156-0873</t>
  </si>
  <si>
    <t>Higuerote, Las Palmeras Aguasal</t>
  </si>
  <si>
    <t>Premier - Alejandro Trejo</t>
  </si>
  <si>
    <t>0156-0874</t>
  </si>
  <si>
    <t>0156-0875</t>
  </si>
  <si>
    <t>Nueva Casarapa, Las Panelas</t>
  </si>
  <si>
    <t>Residencias Oasis Suite</t>
  </si>
  <si>
    <t>Habitat - Miguel Cardona</t>
  </si>
  <si>
    <t>0156-0876</t>
  </si>
  <si>
    <t>Higuerote, Jardin Higuerote</t>
  </si>
  <si>
    <t>0156-0877</t>
  </si>
  <si>
    <t>Ciudad Casarapa Parcela 14</t>
  </si>
  <si>
    <t>s</t>
  </si>
  <si>
    <t>v</t>
  </si>
  <si>
    <t>0156-0878</t>
  </si>
  <si>
    <t>Local comercial</t>
  </si>
  <si>
    <t>Alianza con Eduardo Sanoja</t>
  </si>
  <si>
    <t>0156-0879</t>
  </si>
  <si>
    <t>Solanas del Avila 2</t>
  </si>
  <si>
    <t>VIP Lido - Jennifer Martinez</t>
  </si>
  <si>
    <t>0156-0880</t>
  </si>
  <si>
    <t>Habitat - Mariana Jaimes</t>
  </si>
  <si>
    <t>0156-0881</t>
  </si>
  <si>
    <t>Quinta</t>
  </si>
  <si>
    <t>Segundo Boulevard, Guatire</t>
  </si>
  <si>
    <t>0156-0882</t>
  </si>
  <si>
    <t>0156-0883</t>
  </si>
  <si>
    <t>0156-0884</t>
  </si>
  <si>
    <t>Terrazas Altos de San Pedro</t>
  </si>
  <si>
    <t>0156-0885</t>
  </si>
  <si>
    <t>La Hacienda, Guatire</t>
  </si>
  <si>
    <t>Dr Carlos Tovar</t>
  </si>
  <si>
    <t>0156-0886</t>
  </si>
  <si>
    <t>0156-0887</t>
  </si>
  <si>
    <t>Higuerote, Parque Palma II</t>
  </si>
  <si>
    <t>0156-0888</t>
  </si>
  <si>
    <t>Nueva Casarapa El Arado</t>
  </si>
  <si>
    <t>Jeanmanuela</t>
  </si>
  <si>
    <t>Alianza con Eduardo Jose Sanoja</t>
  </si>
  <si>
    <t>Alianza con Aiskel</t>
  </si>
  <si>
    <t>0156-0889</t>
  </si>
  <si>
    <t>0156-0890</t>
  </si>
  <si>
    <t>Galpon</t>
  </si>
  <si>
    <t>Guarenas, Zona Ind. Del Este</t>
  </si>
  <si>
    <t>Valle Arriba, Valle Grande</t>
  </si>
  <si>
    <t>Alianza con Luis León</t>
  </si>
  <si>
    <t>Higuerote, Villas de Fuente Mar</t>
  </si>
  <si>
    <t xml:space="preserve">Alianza con Naileth Hernandez </t>
  </si>
  <si>
    <t>Centro Comercial Castillejo</t>
  </si>
  <si>
    <t>0156-0891</t>
  </si>
  <si>
    <t>0156-0892</t>
  </si>
  <si>
    <t xml:space="preserve">Higuerote, Asocibal </t>
  </si>
  <si>
    <t>Alianza con Maria Faris</t>
  </si>
  <si>
    <t>Alianza con Ismael</t>
  </si>
  <si>
    <t>Hacienda Sojo</t>
  </si>
  <si>
    <t>Alianza con Carlos Urbaez</t>
  </si>
  <si>
    <t>0156-0893</t>
  </si>
  <si>
    <t>0515-0894</t>
  </si>
  <si>
    <t>Alianza Con Naileth Inversiones Ataff</t>
  </si>
  <si>
    <t xml:space="preserve">Elsa </t>
  </si>
  <si>
    <t>Aiskel</t>
  </si>
  <si>
    <t>Ismael</t>
  </si>
  <si>
    <t>Carlos U</t>
  </si>
  <si>
    <t>Alianza con Peraig</t>
  </si>
  <si>
    <t>Peraig</t>
  </si>
  <si>
    <t>Naileth</t>
  </si>
  <si>
    <t>0516-0894</t>
  </si>
  <si>
    <t>Plus - Nadine Wilhelm</t>
  </si>
  <si>
    <t>Jonathan Navarrete</t>
  </si>
  <si>
    <t>0156-0895</t>
  </si>
  <si>
    <t>0156-0896</t>
  </si>
  <si>
    <t>0156-0897</t>
  </si>
  <si>
    <t>Nueva Casarapa, Los Tejados</t>
  </si>
  <si>
    <t>Guarenas, Terrazas de San Pedro II</t>
  </si>
  <si>
    <t>0156-0898</t>
  </si>
  <si>
    <t>Guarenas, C.C. Palma Real</t>
  </si>
  <si>
    <t>El Marques, La Sabana</t>
  </si>
  <si>
    <t>0156-0899</t>
  </si>
  <si>
    <t>Guarenas, Oropeza Castillo</t>
  </si>
  <si>
    <t>0156-0900</t>
  </si>
  <si>
    <t>Guarenas, El Calvario</t>
  </si>
  <si>
    <t>Realty - Karem Villegas</t>
  </si>
  <si>
    <t>0156-0901</t>
  </si>
  <si>
    <t>C.C. Daymar</t>
  </si>
  <si>
    <t>0156-0902</t>
  </si>
  <si>
    <t>0156-0903</t>
  </si>
  <si>
    <t>Alcanza - Adriana Oropeza</t>
  </si>
  <si>
    <t>Zulma Perez</t>
  </si>
  <si>
    <t>0156-0904</t>
  </si>
  <si>
    <t>Nueva Casarapa, La Colina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</si>
</sst>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6"/>
      <name val="Arial"/>
      <family val="2"/>
    </font>
    <font>
      <sz val="12"/>
      <color theme="1"/>
      <name val="Arial"/>
      <family val="2"/>
    </font>
    <font>
      <b/>
      <u val="double"/>
      <sz val="14"/>
      <color rgb="FF0070C0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b/>
      <u val="double"/>
      <sz val="12"/>
      <color rgb="FF0070C0"/>
      <name val="Arial"/>
      <family val="2"/>
    </font>
    <font>
      <u val="double"/>
      <sz val="12"/>
      <color rgb="FF0070C0"/>
      <name val="Arial"/>
      <family val="2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color theme="1"/>
      <name val="Arial"/>
      <family val="2"/>
    </font>
    <font>
      <sz val="11"/>
      <color rgb="FFFF0000"/>
      <name val="Calibri"/>
      <family val="2"/>
      <scheme val="minor"/>
    </font>
    <font>
      <sz val="9"/>
      <color rgb="FFFF0000"/>
      <name val="Arial"/>
      <family val="2"/>
    </font>
    <font>
      <sz val="11"/>
      <color rgb="FF515151"/>
      <name val="Arial"/>
      <family val="2"/>
    </font>
    <font>
      <sz val="8"/>
      <name val="Calibri"/>
      <family val="2"/>
      <scheme val="minor"/>
    </font>
    <font>
      <sz val="12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44"/>
      </patternFill>
    </fill>
    <fill>
      <patternFill patternType="solid">
        <fgColor theme="8" tint="-0.249977111117893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9" fontId="7" fillId="4" borderId="4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4" fontId="5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4" fontId="8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/>
    </xf>
    <xf numFmtId="4" fontId="5" fillId="0" borderId="8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7" xfId="0" applyBorder="1"/>
    <xf numFmtId="0" fontId="10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" fontId="13" fillId="0" borderId="8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49" fontId="16" fillId="3" borderId="2" xfId="0" applyNumberFormat="1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7" fillId="7" borderId="7" xfId="0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7" fillId="2" borderId="16" xfId="0" applyFont="1" applyFill="1" applyBorder="1" applyAlignment="1">
      <alignment horizontal="center" vertical="center"/>
    </xf>
    <xf numFmtId="49" fontId="7" fillId="3" borderId="13" xfId="0" applyNumberFormat="1" applyFont="1" applyFill="1" applyBorder="1" applyAlignment="1">
      <alignment horizontal="center" vertical="center" wrapText="1"/>
    </xf>
    <xf numFmtId="49" fontId="7" fillId="3" borderId="15" xfId="0" applyNumberFormat="1" applyFont="1" applyFill="1" applyBorder="1" applyAlignment="1">
      <alignment horizontal="center" vertical="center" wrapText="1"/>
    </xf>
    <xf numFmtId="4" fontId="13" fillId="0" borderId="7" xfId="0" applyNumberFormat="1" applyFont="1" applyBorder="1" applyAlignment="1">
      <alignment horizontal="center" vertical="center"/>
    </xf>
    <xf numFmtId="0" fontId="5" fillId="0" borderId="7" xfId="0" applyFont="1" applyBorder="1"/>
    <xf numFmtId="0" fontId="1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3" borderId="4" xfId="0" applyNumberFormat="1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1" fillId="6" borderId="7" xfId="0" applyFont="1" applyFill="1" applyBorder="1" applyAlignment="1">
      <alignment horizontal="center" vertical="center"/>
    </xf>
    <xf numFmtId="0" fontId="21" fillId="6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4" fontId="5" fillId="0" borderId="0" xfId="0" applyNumberFormat="1" applyFont="1"/>
    <xf numFmtId="0" fontId="8" fillId="0" borderId="0" xfId="0" applyFont="1" applyAlignment="1">
      <alignment horizontal="center"/>
    </xf>
    <xf numFmtId="0" fontId="7" fillId="6" borderId="1" xfId="0" applyFont="1" applyFill="1" applyBorder="1" applyAlignment="1">
      <alignment horizontal="right" vertical="center"/>
    </xf>
    <xf numFmtId="49" fontId="7" fillId="3" borderId="14" xfId="0" applyNumberFormat="1" applyFont="1" applyFill="1" applyBorder="1" applyAlignment="1">
      <alignment horizontal="center" vertical="center" wrapText="1"/>
    </xf>
    <xf numFmtId="49" fontId="15" fillId="3" borderId="14" xfId="0" applyNumberFormat="1" applyFont="1" applyFill="1" applyBorder="1" applyAlignment="1">
      <alignment horizontal="center" vertical="center" wrapText="1"/>
    </xf>
    <xf numFmtId="4" fontId="7" fillId="3" borderId="2" xfId="0" applyNumberFormat="1" applyFont="1" applyFill="1" applyBorder="1" applyAlignment="1">
      <alignment horizontal="center" vertical="center" wrapText="1"/>
    </xf>
    <xf numFmtId="4" fontId="7" fillId="3" borderId="14" xfId="0" applyNumberFormat="1" applyFont="1" applyFill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/>
    </xf>
    <xf numFmtId="0" fontId="5" fillId="9" borderId="7" xfId="0" applyFont="1" applyFill="1" applyBorder="1" applyAlignment="1">
      <alignment horizontal="center" vertical="center"/>
    </xf>
    <xf numFmtId="14" fontId="5" fillId="9" borderId="7" xfId="0" applyNumberFormat="1" applyFont="1" applyFill="1" applyBorder="1" applyAlignment="1">
      <alignment horizontal="center" vertical="center"/>
    </xf>
    <xf numFmtId="4" fontId="5" fillId="9" borderId="7" xfId="0" applyNumberFormat="1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4" fontId="0" fillId="0" borderId="0" xfId="0" applyNumberFormat="1"/>
    <xf numFmtId="0" fontId="13" fillId="0" borderId="7" xfId="0" applyFont="1" applyBorder="1" applyAlignment="1">
      <alignment horizontal="center"/>
    </xf>
    <xf numFmtId="4" fontId="10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4" fontId="5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4" fillId="0" borderId="0" xfId="0" applyFont="1"/>
    <xf numFmtId="0" fontId="0" fillId="0" borderId="7" xfId="0" applyBorder="1" applyAlignment="1">
      <alignment horizontal="left" vertical="center"/>
    </xf>
    <xf numFmtId="2" fontId="5" fillId="0" borderId="0" xfId="0" applyNumberFormat="1" applyFont="1" applyAlignment="1">
      <alignment horizontal="center"/>
    </xf>
    <xf numFmtId="0" fontId="5" fillId="5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14" fontId="8" fillId="5" borderId="7" xfId="0" applyNumberFormat="1" applyFont="1" applyFill="1" applyBorder="1" applyAlignment="1">
      <alignment horizontal="center" vertical="center"/>
    </xf>
    <xf numFmtId="4" fontId="8" fillId="5" borderId="7" xfId="0" applyNumberFormat="1" applyFont="1" applyFill="1" applyBorder="1" applyAlignment="1">
      <alignment horizontal="center" vertical="center"/>
    </xf>
    <xf numFmtId="0" fontId="25" fillId="5" borderId="7" xfId="0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14" fontId="8" fillId="9" borderId="7" xfId="0" applyNumberFormat="1" applyFont="1" applyFill="1" applyBorder="1" applyAlignment="1">
      <alignment horizontal="center" vertical="center"/>
    </xf>
    <xf numFmtId="4" fontId="8" fillId="9" borderId="7" xfId="0" applyNumberFormat="1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14" fontId="5" fillId="10" borderId="7" xfId="0" applyNumberFormat="1" applyFont="1" applyFill="1" applyBorder="1" applyAlignment="1">
      <alignment horizontal="center" vertical="center"/>
    </xf>
    <xf numFmtId="4" fontId="5" fillId="10" borderId="7" xfId="0" applyNumberFormat="1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0" fillId="8" borderId="7" xfId="0" applyFont="1" applyFill="1" applyBorder="1" applyAlignment="1">
      <alignment horizontal="center" vertical="center"/>
    </xf>
    <xf numFmtId="0" fontId="5" fillId="0" borderId="8" xfId="0" applyFont="1" applyBorder="1"/>
    <xf numFmtId="0" fontId="5" fillId="10" borderId="8" xfId="0" applyFont="1" applyFill="1" applyBorder="1" applyAlignment="1">
      <alignment horizontal="center" vertical="center"/>
    </xf>
    <xf numFmtId="14" fontId="5" fillId="10" borderId="8" xfId="0" applyNumberFormat="1" applyFont="1" applyFill="1" applyBorder="1" applyAlignment="1">
      <alignment horizontal="center" vertical="center"/>
    </xf>
    <xf numFmtId="4" fontId="5" fillId="10" borderId="8" xfId="0" applyNumberFormat="1" applyFont="1" applyFill="1" applyBorder="1" applyAlignment="1">
      <alignment horizontal="center" vertical="center"/>
    </xf>
    <xf numFmtId="4" fontId="13" fillId="10" borderId="8" xfId="0" applyNumberFormat="1" applyFont="1" applyFill="1" applyBorder="1" applyAlignment="1">
      <alignment horizontal="center" vertical="center"/>
    </xf>
    <xf numFmtId="4" fontId="13" fillId="10" borderId="7" xfId="0" applyNumberFormat="1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14" fontId="5" fillId="11" borderId="7" xfId="0" applyNumberFormat="1" applyFont="1" applyFill="1" applyBorder="1" applyAlignment="1">
      <alignment horizontal="center" vertical="center"/>
    </xf>
    <xf numFmtId="4" fontId="5" fillId="11" borderId="7" xfId="0" applyNumberFormat="1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14" fontId="8" fillId="10" borderId="7" xfId="0" applyNumberFormat="1" applyFont="1" applyFill="1" applyBorder="1" applyAlignment="1">
      <alignment horizontal="center" vertical="center"/>
    </xf>
    <xf numFmtId="4" fontId="8" fillId="10" borderId="7" xfId="0" applyNumberFormat="1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4" fontId="13" fillId="11" borderId="7" xfId="0" applyNumberFormat="1" applyFont="1" applyFill="1" applyBorder="1" applyAlignment="1">
      <alignment horizontal="center" vertical="center"/>
    </xf>
    <xf numFmtId="14" fontId="8" fillId="11" borderId="7" xfId="0" applyNumberFormat="1" applyFont="1" applyFill="1" applyBorder="1" applyAlignment="1">
      <alignment horizontal="center" vertical="center"/>
    </xf>
    <xf numFmtId="4" fontId="8" fillId="11" borderId="7" xfId="0" applyNumberFormat="1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28" fillId="12" borderId="0" xfId="0" applyFont="1" applyFill="1" applyAlignment="1">
      <alignment horizontal="center" vertical="center"/>
    </xf>
    <xf numFmtId="4" fontId="5" fillId="12" borderId="7" xfId="0" applyNumberFormat="1" applyFont="1" applyFill="1" applyBorder="1" applyAlignment="1">
      <alignment horizontal="center" vertical="center"/>
    </xf>
    <xf numFmtId="14" fontId="5" fillId="12" borderId="7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6" fillId="6" borderId="9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right" vertical="center"/>
    </xf>
    <xf numFmtId="49" fontId="7" fillId="6" borderId="6" xfId="0" applyNumberFormat="1" applyFont="1" applyFill="1" applyBorder="1" applyAlignment="1">
      <alignment horizontal="center" vertical="center"/>
    </xf>
    <xf numFmtId="49" fontId="7" fillId="6" borderId="4" xfId="0" applyNumberFormat="1" applyFont="1" applyFill="1" applyBorder="1" applyAlignment="1">
      <alignment horizontal="center" vertical="center"/>
    </xf>
    <xf numFmtId="49" fontId="7" fillId="6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/>
    </xf>
    <xf numFmtId="49" fontId="7" fillId="2" borderId="15" xfId="0" applyNumberFormat="1" applyFont="1" applyFill="1" applyBorder="1" applyAlignment="1">
      <alignment horizontal="center" vertical="center"/>
    </xf>
    <xf numFmtId="49" fontId="7" fillId="2" borderId="24" xfId="0" applyNumberFormat="1" applyFont="1" applyFill="1" applyBorder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9" fontId="7" fillId="2" borderId="2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20" fillId="8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2" fillId="6" borderId="23" xfId="0" applyFont="1" applyFill="1" applyBorder="1" applyAlignment="1">
      <alignment horizontal="center" vertical="center" textRotation="45"/>
    </xf>
    <xf numFmtId="0" fontId="22" fillId="6" borderId="0" xfId="0" applyFont="1" applyFill="1" applyAlignment="1">
      <alignment horizontal="center" vertical="center" textRotation="45"/>
    </xf>
    <xf numFmtId="0" fontId="22" fillId="6" borderId="21" xfId="0" applyFont="1" applyFill="1" applyBorder="1" applyAlignment="1">
      <alignment horizontal="center" vertical="center" textRotation="45"/>
    </xf>
    <xf numFmtId="0" fontId="22" fillId="6" borderId="22" xfId="0" applyFont="1" applyFill="1" applyBorder="1" applyAlignment="1">
      <alignment horizontal="center" vertical="center" textRotation="45"/>
    </xf>
    <xf numFmtId="0" fontId="20" fillId="6" borderId="21" xfId="0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center" vertical="center"/>
    </xf>
    <xf numFmtId="0" fontId="20" fillId="8" borderId="25" xfId="0" applyFont="1" applyFill="1" applyBorder="1" applyAlignment="1">
      <alignment horizontal="center" vertical="center"/>
    </xf>
    <xf numFmtId="0" fontId="20" fillId="8" borderId="26" xfId="0" applyFont="1" applyFill="1" applyBorder="1" applyAlignment="1">
      <alignment horizontal="center" vertical="center"/>
    </xf>
    <xf numFmtId="0" fontId="20" fillId="8" borderId="2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DEF7"/>
      <color rgb="FFC0FAD7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5E037A4A-C376-4F59-8400-B26B35A95C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7881D18C-B093-4D5B-BBBB-7ACB7D996BA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266699</xdr:colOff>
      <xdr:row>0</xdr:row>
      <xdr:rowOff>95250</xdr:rowOff>
    </xdr:from>
    <xdr:ext cx="1776941" cy="728133"/>
    <xdr:pic>
      <xdr:nvPicPr>
        <xdr:cNvPr id="3" name="Imagen 2">
          <a:extLst>
            <a:ext uri="{FF2B5EF4-FFF2-40B4-BE49-F238E27FC236}">
              <a16:creationId xmlns:a16="http://schemas.microsoft.com/office/drawing/2014/main" id="{8E2B9794-629C-49DD-A3A0-4349C5404A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699" y="9525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38100</xdr:rowOff>
    </xdr:from>
    <xdr:to>
      <xdr:col>2</xdr:col>
      <xdr:colOff>514349</xdr:colOff>
      <xdr:row>4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0DB1CE-DF10-4A5D-9285-6F5E171895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9" y="38100"/>
          <a:ext cx="1781175" cy="762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28574</xdr:colOff>
      <xdr:row>0</xdr:row>
      <xdr:rowOff>38100</xdr:rowOff>
    </xdr:from>
    <xdr:to>
      <xdr:col>2</xdr:col>
      <xdr:colOff>514349</xdr:colOff>
      <xdr:row>4</xdr:row>
      <xdr:rowOff>28575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786C91-12A6-4485-ACFB-DB7A3364478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9" y="38100"/>
          <a:ext cx="1781175" cy="7524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28575</xdr:rowOff>
    </xdr:from>
    <xdr:ext cx="1752600" cy="714375"/>
    <xdr:pic>
      <xdr:nvPicPr>
        <xdr:cNvPr id="3" name="Imagen 2">
          <a:extLst>
            <a:ext uri="{FF2B5EF4-FFF2-40B4-BE49-F238E27FC236}">
              <a16:creationId xmlns:a16="http://schemas.microsoft.com/office/drawing/2014/main" id="{4CB40077-5C65-4855-A70B-57AB05CC38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8575"/>
          <a:ext cx="1752600" cy="7143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257174</xdr:colOff>
      <xdr:row>0</xdr:row>
      <xdr:rowOff>142875</xdr:rowOff>
    </xdr:from>
    <xdr:ext cx="2447926" cy="942975"/>
    <xdr:pic>
      <xdr:nvPicPr>
        <xdr:cNvPr id="3" name="Imagen 2">
          <a:extLst>
            <a:ext uri="{FF2B5EF4-FFF2-40B4-BE49-F238E27FC236}">
              <a16:creationId xmlns:a16="http://schemas.microsoft.com/office/drawing/2014/main" id="{86321D1C-D2C1-4A42-B661-B6BBA68C921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5549" y="142875"/>
          <a:ext cx="2447926" cy="9429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3" name="Imagen 2">
          <a:extLst>
            <a:ext uri="{FF2B5EF4-FFF2-40B4-BE49-F238E27FC236}">
              <a16:creationId xmlns:a16="http://schemas.microsoft.com/office/drawing/2014/main" id="{E9B8731B-D358-439D-96F5-3A2156818A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3" name="Imagen 2">
          <a:extLst>
            <a:ext uri="{FF2B5EF4-FFF2-40B4-BE49-F238E27FC236}">
              <a16:creationId xmlns:a16="http://schemas.microsoft.com/office/drawing/2014/main" id="{7F0DCB13-61EA-4D8A-BE69-59419369F6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AF08EC92-081F-4CF1-AE7E-4073DDB90CE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89F4512F-E3B3-4264-9E23-919E1CABF9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F1CF227B-9552-4C13-9AFB-C308C08780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4C231044-1769-47AA-93F7-2437A1A491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6B439FB5-EB21-4FBE-8A57-D25B159375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9A97565A-C562-46A2-810C-7D768287B5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5457051A-1DAB-4580-BB89-5ABCEE8485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57DD5C78-46F2-4007-8264-1E511F2EE8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50F77A30-AF85-4F7D-BADB-8E338820F7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28574</xdr:colOff>
      <xdr:row>0</xdr:row>
      <xdr:rowOff>38100</xdr:rowOff>
    </xdr:from>
    <xdr:ext cx="1776941" cy="728133"/>
    <xdr:pic>
      <xdr:nvPicPr>
        <xdr:cNvPr id="2" name="Imagen 1">
          <a:extLst>
            <a:ext uri="{FF2B5EF4-FFF2-40B4-BE49-F238E27FC236}">
              <a16:creationId xmlns:a16="http://schemas.microsoft.com/office/drawing/2014/main" id="{D814703C-D09D-4261-AA35-593B94099FC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38100"/>
          <a:ext cx="1776941" cy="72813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DE82-8210-4407-AF82-F6A22C88A0E8}">
  <sheetPr>
    <tabColor theme="4" tint="0.79998168889431442"/>
  </sheetPr>
  <dimension ref="A1:M192"/>
  <sheetViews>
    <sheetView topLeftCell="A7" workbookViewId="0">
      <selection activeCell="F197" sqref="F197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9.28515625" bestFit="1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.7109375" customWidth="1"/>
    <col min="13" max="13" width="30.5703125" customWidth="1"/>
  </cols>
  <sheetData>
    <row r="1" spans="1:13" x14ac:dyDescent="0.25">
      <c r="L1" s="1"/>
      <c r="M1" s="2"/>
    </row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  <c r="L2" s="1"/>
      <c r="M2" s="2"/>
    </row>
    <row r="3" spans="1:13" ht="18" x14ac:dyDescent="0.25">
      <c r="A3" s="1"/>
      <c r="B3" s="135" t="s">
        <v>0</v>
      </c>
      <c r="C3" s="135"/>
      <c r="D3" s="135"/>
      <c r="E3" s="135"/>
      <c r="F3" s="135"/>
      <c r="G3" s="135"/>
      <c r="H3" s="135"/>
      <c r="I3" s="135"/>
      <c r="J3" s="135"/>
      <c r="K3" s="135"/>
      <c r="L3" s="1"/>
      <c r="M3" s="2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  <c r="L4" s="1"/>
      <c r="M4" s="2"/>
    </row>
    <row r="5" spans="1:13" ht="15.75" thickBot="1" x14ac:dyDescent="0.3">
      <c r="A5" s="1"/>
      <c r="I5" s="5"/>
      <c r="L5" s="1"/>
      <c r="M5" s="2"/>
    </row>
    <row r="6" spans="1:13" ht="32.25" thickBot="1" x14ac:dyDescent="0.3">
      <c r="A6" s="6" t="s">
        <v>2</v>
      </c>
      <c r="B6" s="7" t="s">
        <v>3</v>
      </c>
      <c r="C6" s="8" t="s">
        <v>4</v>
      </c>
      <c r="D6" s="9" t="s">
        <v>5</v>
      </c>
      <c r="E6" s="9" t="s">
        <v>6</v>
      </c>
      <c r="F6" s="10" t="s">
        <v>7</v>
      </c>
      <c r="G6" s="10" t="s">
        <v>8</v>
      </c>
      <c r="H6" s="9" t="s">
        <v>9</v>
      </c>
      <c r="I6" s="10" t="s">
        <v>10</v>
      </c>
      <c r="J6" s="9" t="s">
        <v>11</v>
      </c>
      <c r="K6" s="10" t="s">
        <v>12</v>
      </c>
      <c r="L6" s="11" t="s">
        <v>13</v>
      </c>
      <c r="M6" s="11" t="s">
        <v>14</v>
      </c>
    </row>
    <row r="7" spans="1:13" ht="15.75" thickBot="1" x14ac:dyDescent="0.3">
      <c r="A7" s="132" t="s">
        <v>15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4"/>
    </row>
    <row r="8" spans="1:13" x14ac:dyDescent="0.25">
      <c r="A8" s="12">
        <v>1</v>
      </c>
      <c r="B8" s="12" t="s">
        <v>16</v>
      </c>
      <c r="C8" s="12" t="s">
        <v>84</v>
      </c>
      <c r="D8" s="12">
        <v>267804</v>
      </c>
      <c r="E8" s="12" t="s">
        <v>17</v>
      </c>
      <c r="F8" s="12" t="s">
        <v>85</v>
      </c>
      <c r="G8" s="12" t="s">
        <v>20</v>
      </c>
      <c r="H8" s="12" t="s">
        <v>19</v>
      </c>
      <c r="I8" s="13">
        <v>45313</v>
      </c>
      <c r="J8" s="13">
        <v>45684</v>
      </c>
      <c r="K8" s="14">
        <v>13000</v>
      </c>
      <c r="L8" s="42" t="s">
        <v>83</v>
      </c>
      <c r="M8" s="19"/>
    </row>
    <row r="9" spans="1:13" x14ac:dyDescent="0.25">
      <c r="A9" s="12">
        <v>2</v>
      </c>
      <c r="B9" s="12" t="s">
        <v>26</v>
      </c>
      <c r="C9" s="12" t="s">
        <v>86</v>
      </c>
      <c r="D9" s="12">
        <v>268294</v>
      </c>
      <c r="E9" s="12" t="s">
        <v>17</v>
      </c>
      <c r="F9" s="12" t="s">
        <v>82</v>
      </c>
      <c r="G9" s="12" t="s">
        <v>18</v>
      </c>
      <c r="H9" s="12" t="s">
        <v>19</v>
      </c>
      <c r="I9" s="13">
        <v>45674</v>
      </c>
      <c r="J9" s="13">
        <v>45686</v>
      </c>
      <c r="K9" s="14">
        <v>23000</v>
      </c>
      <c r="L9" s="42"/>
      <c r="M9" s="12"/>
    </row>
    <row r="10" spans="1:13" x14ac:dyDescent="0.25">
      <c r="A10" s="12">
        <v>3</v>
      </c>
      <c r="B10" s="12" t="s">
        <v>22</v>
      </c>
      <c r="C10" s="12" t="s">
        <v>87</v>
      </c>
      <c r="D10" s="12">
        <v>269128</v>
      </c>
      <c r="E10" s="12" t="s">
        <v>45</v>
      </c>
      <c r="F10" s="23" t="s">
        <v>88</v>
      </c>
      <c r="G10" s="12" t="s">
        <v>18</v>
      </c>
      <c r="H10" s="12" t="s">
        <v>21</v>
      </c>
      <c r="I10" s="13">
        <v>45658</v>
      </c>
      <c r="J10" s="13">
        <v>45688</v>
      </c>
      <c r="K10" s="14">
        <v>200</v>
      </c>
      <c r="L10" s="26"/>
      <c r="M10" s="15"/>
    </row>
    <row r="11" spans="1:13" x14ac:dyDescent="0.25">
      <c r="A11" s="12">
        <v>4</v>
      </c>
      <c r="B11" s="12" t="s">
        <v>22</v>
      </c>
      <c r="C11" s="12" t="s">
        <v>89</v>
      </c>
      <c r="D11" s="12">
        <v>269132</v>
      </c>
      <c r="E11" s="12" t="s">
        <v>45</v>
      </c>
      <c r="F11" s="23" t="s">
        <v>90</v>
      </c>
      <c r="G11" s="12" t="s">
        <v>18</v>
      </c>
      <c r="H11" s="12" t="s">
        <v>21</v>
      </c>
      <c r="I11" s="13">
        <v>45658</v>
      </c>
      <c r="J11" s="13">
        <v>45688</v>
      </c>
      <c r="K11" s="14">
        <v>204</v>
      </c>
      <c r="L11" s="26"/>
      <c r="M11" s="15"/>
    </row>
    <row r="12" spans="1:13" x14ac:dyDescent="0.25">
      <c r="A12" s="12">
        <v>5</v>
      </c>
      <c r="B12" s="12" t="s">
        <v>22</v>
      </c>
      <c r="C12" s="12" t="s">
        <v>91</v>
      </c>
      <c r="D12" s="12">
        <v>269142</v>
      </c>
      <c r="E12" s="12" t="s">
        <v>45</v>
      </c>
      <c r="F12" s="23" t="s">
        <v>93</v>
      </c>
      <c r="G12" s="12" t="s">
        <v>18</v>
      </c>
      <c r="H12" s="12" t="s">
        <v>21</v>
      </c>
      <c r="I12" s="13">
        <v>45658</v>
      </c>
      <c r="J12" s="13">
        <v>45688</v>
      </c>
      <c r="K12" s="14">
        <v>304</v>
      </c>
      <c r="L12" s="26"/>
      <c r="M12" s="12"/>
    </row>
    <row r="13" spans="1:13" ht="15.75" thickBot="1" x14ac:dyDescent="0.3">
      <c r="A13" s="12">
        <v>6</v>
      </c>
      <c r="B13" s="12" t="s">
        <v>22</v>
      </c>
      <c r="C13" s="12" t="s">
        <v>92</v>
      </c>
      <c r="D13" s="12">
        <v>269150</v>
      </c>
      <c r="E13" s="12" t="s">
        <v>45</v>
      </c>
      <c r="F13" s="23" t="s">
        <v>94</v>
      </c>
      <c r="G13" s="12" t="s">
        <v>18</v>
      </c>
      <c r="H13" s="12" t="s">
        <v>21</v>
      </c>
      <c r="I13" s="13">
        <v>45658</v>
      </c>
      <c r="J13" s="13">
        <v>45688</v>
      </c>
      <c r="K13" s="14">
        <v>204</v>
      </c>
      <c r="L13" s="26"/>
      <c r="M13" s="15"/>
    </row>
    <row r="14" spans="1:13" ht="15.75" thickBot="1" x14ac:dyDescent="0.3">
      <c r="A14" s="132" t="s">
        <v>31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4"/>
    </row>
    <row r="15" spans="1:13" x14ac:dyDescent="0.25">
      <c r="A15" s="15">
        <v>1</v>
      </c>
      <c r="B15" s="15" t="s">
        <v>16</v>
      </c>
      <c r="C15" s="15" t="s">
        <v>95</v>
      </c>
      <c r="D15" s="15">
        <v>268756</v>
      </c>
      <c r="E15" s="15" t="s">
        <v>43</v>
      </c>
      <c r="F15" s="15" t="s">
        <v>96</v>
      </c>
      <c r="G15" s="15" t="s">
        <v>18</v>
      </c>
      <c r="H15" s="15" t="s">
        <v>19</v>
      </c>
      <c r="I15" s="16">
        <v>45687</v>
      </c>
      <c r="J15" s="16">
        <v>45698</v>
      </c>
      <c r="K15" s="17">
        <v>15000</v>
      </c>
      <c r="L15" s="18" t="s">
        <v>65</v>
      </c>
      <c r="M15" s="15"/>
    </row>
    <row r="16" spans="1:13" x14ac:dyDescent="0.25">
      <c r="A16" s="15">
        <v>2</v>
      </c>
      <c r="B16" s="15" t="s">
        <v>16</v>
      </c>
      <c r="C16" s="15" t="s">
        <v>97</v>
      </c>
      <c r="D16" s="15">
        <v>269923</v>
      </c>
      <c r="E16" s="15" t="s">
        <v>24</v>
      </c>
      <c r="F16" s="18" t="s">
        <v>98</v>
      </c>
      <c r="G16" s="15" t="s">
        <v>18</v>
      </c>
      <c r="H16" s="15" t="s">
        <v>19</v>
      </c>
      <c r="I16" s="16">
        <v>45695</v>
      </c>
      <c r="J16" s="16">
        <v>45698</v>
      </c>
      <c r="K16" s="17">
        <v>80000</v>
      </c>
      <c r="L16" s="15"/>
      <c r="M16" s="15"/>
    </row>
    <row r="17" spans="1:13" x14ac:dyDescent="0.25">
      <c r="A17" s="15">
        <v>3</v>
      </c>
      <c r="B17" s="15" t="s">
        <v>16</v>
      </c>
      <c r="C17" s="15" t="s">
        <v>99</v>
      </c>
      <c r="D17" s="15">
        <v>269967</v>
      </c>
      <c r="E17" s="15" t="s">
        <v>24</v>
      </c>
      <c r="F17" s="15" t="s">
        <v>25</v>
      </c>
      <c r="G17" s="15" t="s">
        <v>18</v>
      </c>
      <c r="H17" s="15" t="s">
        <v>19</v>
      </c>
      <c r="I17" s="16">
        <v>45695</v>
      </c>
      <c r="J17" s="16">
        <v>45698</v>
      </c>
      <c r="K17" s="17">
        <v>50000</v>
      </c>
      <c r="L17" s="15"/>
      <c r="M17" s="15"/>
    </row>
    <row r="18" spans="1:13" x14ac:dyDescent="0.25">
      <c r="A18" s="49">
        <v>4</v>
      </c>
      <c r="B18" s="49" t="s">
        <v>26</v>
      </c>
      <c r="C18" s="49" t="s">
        <v>101</v>
      </c>
      <c r="D18" s="34">
        <v>270817</v>
      </c>
      <c r="E18" s="49" t="s">
        <v>17</v>
      </c>
      <c r="F18" s="50" t="s">
        <v>100</v>
      </c>
      <c r="G18" s="49" t="s">
        <v>18</v>
      </c>
      <c r="H18" s="49" t="s">
        <v>19</v>
      </c>
      <c r="I18" s="13">
        <v>45696</v>
      </c>
      <c r="J18" s="13">
        <v>45701</v>
      </c>
      <c r="K18" s="14">
        <v>15000</v>
      </c>
      <c r="L18" s="42"/>
      <c r="M18" s="14"/>
    </row>
    <row r="19" spans="1:13" x14ac:dyDescent="0.25">
      <c r="A19" s="12">
        <v>5</v>
      </c>
      <c r="B19" s="12" t="s">
        <v>16</v>
      </c>
      <c r="C19" s="12" t="s">
        <v>102</v>
      </c>
      <c r="D19" s="12">
        <v>271753</v>
      </c>
      <c r="E19" s="12" t="s">
        <v>17</v>
      </c>
      <c r="F19" s="12" t="s">
        <v>38</v>
      </c>
      <c r="G19" s="12" t="s">
        <v>18</v>
      </c>
      <c r="H19" s="12" t="s">
        <v>19</v>
      </c>
      <c r="I19" s="13">
        <v>45708</v>
      </c>
      <c r="J19" s="13">
        <v>45712</v>
      </c>
      <c r="K19" s="14">
        <v>18500</v>
      </c>
      <c r="L19" s="42"/>
      <c r="M19" s="12"/>
    </row>
    <row r="20" spans="1:13" x14ac:dyDescent="0.25">
      <c r="A20" s="12">
        <v>6</v>
      </c>
      <c r="B20" s="12" t="s">
        <v>16</v>
      </c>
      <c r="C20" s="12" t="s">
        <v>103</v>
      </c>
      <c r="D20" s="12">
        <v>272082</v>
      </c>
      <c r="E20" s="12" t="s">
        <v>23</v>
      </c>
      <c r="F20" s="12" t="s">
        <v>104</v>
      </c>
      <c r="G20" s="12" t="s">
        <v>18</v>
      </c>
      <c r="H20" s="12" t="s">
        <v>19</v>
      </c>
      <c r="I20" s="13">
        <v>45711</v>
      </c>
      <c r="J20" s="13">
        <v>45712</v>
      </c>
      <c r="K20" s="14">
        <v>31000</v>
      </c>
      <c r="L20" s="26"/>
      <c r="M20" s="12"/>
    </row>
    <row r="21" spans="1:13" x14ac:dyDescent="0.25">
      <c r="A21" s="12">
        <v>7</v>
      </c>
      <c r="B21" s="12" t="s">
        <v>16</v>
      </c>
      <c r="C21" s="12" t="s">
        <v>105</v>
      </c>
      <c r="D21" s="12">
        <v>270103</v>
      </c>
      <c r="E21" s="12" t="s">
        <v>17</v>
      </c>
      <c r="F21" s="22" t="s">
        <v>108</v>
      </c>
      <c r="G21" s="12" t="s">
        <v>20</v>
      </c>
      <c r="H21" s="12" t="s">
        <v>19</v>
      </c>
      <c r="I21" s="13">
        <v>45714</v>
      </c>
      <c r="J21" s="13">
        <v>45716</v>
      </c>
      <c r="K21" s="14">
        <v>26800</v>
      </c>
      <c r="L21" s="26" t="s">
        <v>110</v>
      </c>
      <c r="M21" s="12"/>
    </row>
    <row r="22" spans="1:13" x14ac:dyDescent="0.25">
      <c r="A22" s="12">
        <v>8</v>
      </c>
      <c r="B22" s="12" t="s">
        <v>16</v>
      </c>
      <c r="C22" s="12" t="s">
        <v>106</v>
      </c>
      <c r="D22" s="12">
        <v>272707</v>
      </c>
      <c r="E22" s="12" t="s">
        <v>17</v>
      </c>
      <c r="F22" s="23" t="s">
        <v>109</v>
      </c>
      <c r="G22" s="12" t="s">
        <v>20</v>
      </c>
      <c r="H22" s="12" t="s">
        <v>19</v>
      </c>
      <c r="I22" s="13">
        <v>45714</v>
      </c>
      <c r="J22" s="13">
        <v>45716</v>
      </c>
      <c r="K22" s="14">
        <v>27000</v>
      </c>
      <c r="L22" s="26" t="s">
        <v>110</v>
      </c>
      <c r="M22" s="12"/>
    </row>
    <row r="23" spans="1:13" x14ac:dyDescent="0.25">
      <c r="A23" s="12">
        <v>9</v>
      </c>
      <c r="B23" s="12" t="s">
        <v>16</v>
      </c>
      <c r="C23" s="12" t="s">
        <v>107</v>
      </c>
      <c r="D23" s="12">
        <v>272979</v>
      </c>
      <c r="E23" s="12" t="s">
        <v>23</v>
      </c>
      <c r="F23" s="12" t="s">
        <v>111</v>
      </c>
      <c r="G23" s="12" t="s">
        <v>18</v>
      </c>
      <c r="H23" s="12" t="s">
        <v>19</v>
      </c>
      <c r="I23" s="13">
        <v>45713</v>
      </c>
      <c r="J23" s="13">
        <v>45716</v>
      </c>
      <c r="K23" s="14">
        <v>35000</v>
      </c>
      <c r="L23" s="26" t="s">
        <v>112</v>
      </c>
      <c r="M23" s="12"/>
    </row>
    <row r="24" spans="1:13" ht="15.75" thickBot="1" x14ac:dyDescent="0.3">
      <c r="A24" s="12">
        <v>10</v>
      </c>
      <c r="B24" s="12" t="s">
        <v>16</v>
      </c>
      <c r="C24" s="12" t="s">
        <v>113</v>
      </c>
      <c r="D24" s="12">
        <v>273003</v>
      </c>
      <c r="E24" s="12" t="s">
        <v>17</v>
      </c>
      <c r="F24" s="22" t="s">
        <v>62</v>
      </c>
      <c r="G24" s="12" t="s">
        <v>20</v>
      </c>
      <c r="H24" s="12" t="s">
        <v>19</v>
      </c>
      <c r="I24" s="13">
        <v>45715</v>
      </c>
      <c r="J24" s="13">
        <v>45716</v>
      </c>
      <c r="K24" s="14">
        <v>17500</v>
      </c>
      <c r="L24" s="26" t="s">
        <v>114</v>
      </c>
      <c r="M24" s="12"/>
    </row>
    <row r="25" spans="1:13" ht="15.75" thickBot="1" x14ac:dyDescent="0.3">
      <c r="A25" s="132" t="s">
        <v>33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4"/>
    </row>
    <row r="26" spans="1:13" x14ac:dyDescent="0.25">
      <c r="A26" s="12">
        <v>1</v>
      </c>
      <c r="B26" s="12" t="s">
        <v>26</v>
      </c>
      <c r="C26" s="12" t="s">
        <v>115</v>
      </c>
      <c r="D26" s="12">
        <v>273442</v>
      </c>
      <c r="E26" s="12" t="s">
        <v>24</v>
      </c>
      <c r="F26" s="12" t="s">
        <v>116</v>
      </c>
      <c r="G26" s="12" t="s">
        <v>18</v>
      </c>
      <c r="H26" s="12" t="s">
        <v>19</v>
      </c>
      <c r="I26" s="13">
        <v>45712</v>
      </c>
      <c r="J26" s="13">
        <v>45719</v>
      </c>
      <c r="K26" s="14">
        <v>65000</v>
      </c>
      <c r="L26" s="42"/>
      <c r="M26" s="14"/>
    </row>
    <row r="27" spans="1:13" x14ac:dyDescent="0.25">
      <c r="A27" s="12">
        <v>2</v>
      </c>
      <c r="B27" s="12" t="s">
        <v>16</v>
      </c>
      <c r="C27" s="12" t="s">
        <v>117</v>
      </c>
      <c r="D27" s="12">
        <v>273421</v>
      </c>
      <c r="E27" s="12" t="s">
        <v>17</v>
      </c>
      <c r="F27" s="12" t="s">
        <v>53</v>
      </c>
      <c r="G27" s="12" t="s">
        <v>18</v>
      </c>
      <c r="H27" s="12" t="s">
        <v>19</v>
      </c>
      <c r="I27" s="13">
        <v>45718</v>
      </c>
      <c r="J27" s="13">
        <v>45721</v>
      </c>
      <c r="K27" s="14">
        <v>15000</v>
      </c>
      <c r="L27" s="42"/>
      <c r="M27" s="12"/>
    </row>
    <row r="28" spans="1:13" x14ac:dyDescent="0.25">
      <c r="A28" s="12">
        <v>3</v>
      </c>
      <c r="B28" s="12" t="s">
        <v>16</v>
      </c>
      <c r="C28" s="12" t="s">
        <v>118</v>
      </c>
      <c r="D28" s="12">
        <v>273208</v>
      </c>
      <c r="E28" s="12" t="s">
        <v>41</v>
      </c>
      <c r="F28" s="12" t="s">
        <v>119</v>
      </c>
      <c r="G28" s="12" t="s">
        <v>18</v>
      </c>
      <c r="H28" s="12" t="s">
        <v>19</v>
      </c>
      <c r="I28" s="13">
        <v>45717</v>
      </c>
      <c r="J28" s="13">
        <v>45721</v>
      </c>
      <c r="K28" s="14">
        <v>20000</v>
      </c>
      <c r="L28" s="26" t="s">
        <v>120</v>
      </c>
      <c r="M28" s="12"/>
    </row>
    <row r="29" spans="1:13" x14ac:dyDescent="0.25">
      <c r="A29" s="12">
        <v>4</v>
      </c>
      <c r="B29" s="12" t="s">
        <v>26</v>
      </c>
      <c r="C29" s="12" t="s">
        <v>121</v>
      </c>
      <c r="D29" s="12">
        <v>273392</v>
      </c>
      <c r="E29" s="12" t="s">
        <v>43</v>
      </c>
      <c r="F29" s="12" t="s">
        <v>30</v>
      </c>
      <c r="G29" s="12" t="s">
        <v>18</v>
      </c>
      <c r="H29" s="12" t="s">
        <v>19</v>
      </c>
      <c r="I29" s="13">
        <v>45712</v>
      </c>
      <c r="J29" s="13">
        <v>45721</v>
      </c>
      <c r="K29" s="14">
        <v>46000</v>
      </c>
      <c r="L29" s="26"/>
      <c r="M29" s="12"/>
    </row>
    <row r="30" spans="1:13" x14ac:dyDescent="0.25">
      <c r="A30" s="12">
        <v>5</v>
      </c>
      <c r="B30" s="12" t="s">
        <v>26</v>
      </c>
      <c r="C30" s="12" t="s">
        <v>122</v>
      </c>
      <c r="D30" s="12">
        <v>273441</v>
      </c>
      <c r="E30" s="12" t="s">
        <v>41</v>
      </c>
      <c r="F30" s="12" t="s">
        <v>30</v>
      </c>
      <c r="G30" s="12" t="s">
        <v>18</v>
      </c>
      <c r="H30" s="12" t="s">
        <v>19</v>
      </c>
      <c r="I30" s="13">
        <v>45712</v>
      </c>
      <c r="J30" s="13">
        <v>45722</v>
      </c>
      <c r="K30" s="14">
        <v>90000</v>
      </c>
      <c r="L30" s="26"/>
      <c r="M30" s="12"/>
    </row>
    <row r="31" spans="1:13" x14ac:dyDescent="0.25">
      <c r="A31" s="12">
        <v>6</v>
      </c>
      <c r="B31" s="12" t="s">
        <v>26</v>
      </c>
      <c r="C31" s="12" t="s">
        <v>123</v>
      </c>
      <c r="D31" s="12">
        <v>273713</v>
      </c>
      <c r="E31" s="12" t="s">
        <v>17</v>
      </c>
      <c r="F31" s="12" t="s">
        <v>124</v>
      </c>
      <c r="G31" s="12" t="s">
        <v>18</v>
      </c>
      <c r="H31" s="12" t="s">
        <v>19</v>
      </c>
      <c r="I31" s="13">
        <v>45717</v>
      </c>
      <c r="J31" s="13">
        <v>45722</v>
      </c>
      <c r="K31" s="14">
        <v>8300</v>
      </c>
      <c r="L31" s="26"/>
      <c r="M31" s="12"/>
    </row>
    <row r="32" spans="1:13" x14ac:dyDescent="0.25">
      <c r="A32" s="12">
        <v>7</v>
      </c>
      <c r="B32" s="12" t="s">
        <v>26</v>
      </c>
      <c r="C32" s="12" t="s">
        <v>138</v>
      </c>
      <c r="D32" s="12">
        <v>273978</v>
      </c>
      <c r="E32" s="12" t="s">
        <v>17</v>
      </c>
      <c r="F32" s="12" t="s">
        <v>139</v>
      </c>
      <c r="G32" s="12" t="s">
        <v>18</v>
      </c>
      <c r="H32" s="12" t="s">
        <v>19</v>
      </c>
      <c r="I32" s="13">
        <v>45315</v>
      </c>
      <c r="J32" s="13">
        <v>45724</v>
      </c>
      <c r="K32" s="14">
        <v>23000</v>
      </c>
      <c r="L32" s="26"/>
      <c r="M32" s="12"/>
    </row>
    <row r="33" spans="1:13" x14ac:dyDescent="0.25">
      <c r="A33" s="12">
        <v>8</v>
      </c>
      <c r="B33" s="15" t="s">
        <v>16</v>
      </c>
      <c r="C33" s="15" t="s">
        <v>140</v>
      </c>
      <c r="D33" s="15">
        <v>274810</v>
      </c>
      <c r="E33" s="15" t="s">
        <v>24</v>
      </c>
      <c r="F33" s="15" t="s">
        <v>141</v>
      </c>
      <c r="G33" s="15" t="s">
        <v>20</v>
      </c>
      <c r="H33" s="15" t="s">
        <v>19</v>
      </c>
      <c r="I33" s="16">
        <v>45729</v>
      </c>
      <c r="J33" s="16">
        <v>45730</v>
      </c>
      <c r="K33" s="17">
        <v>30000</v>
      </c>
      <c r="L33" s="25" t="s">
        <v>83</v>
      </c>
      <c r="M33" s="15"/>
    </row>
    <row r="34" spans="1:13" x14ac:dyDescent="0.25">
      <c r="A34" s="12">
        <v>9</v>
      </c>
      <c r="B34" s="15" t="s">
        <v>16</v>
      </c>
      <c r="C34" s="15" t="s">
        <v>142</v>
      </c>
      <c r="D34" s="15">
        <v>275027</v>
      </c>
      <c r="E34" s="15" t="s">
        <v>17</v>
      </c>
      <c r="F34" s="15" t="s">
        <v>143</v>
      </c>
      <c r="G34" s="15" t="s">
        <v>18</v>
      </c>
      <c r="H34" s="15" t="s">
        <v>19</v>
      </c>
      <c r="I34" s="16">
        <v>45732</v>
      </c>
      <c r="J34" s="16">
        <v>45733</v>
      </c>
      <c r="K34" s="17">
        <v>28500</v>
      </c>
      <c r="L34" s="25"/>
      <c r="M34" s="15"/>
    </row>
    <row r="35" spans="1:13" x14ac:dyDescent="0.25">
      <c r="A35" s="12">
        <v>10</v>
      </c>
      <c r="B35" s="15" t="s">
        <v>22</v>
      </c>
      <c r="C35" s="15" t="s">
        <v>144</v>
      </c>
      <c r="D35" s="15">
        <v>275091</v>
      </c>
      <c r="E35" s="15" t="s">
        <v>24</v>
      </c>
      <c r="F35" s="15" t="s">
        <v>141</v>
      </c>
      <c r="G35" s="15" t="s">
        <v>18</v>
      </c>
      <c r="H35" s="15" t="s">
        <v>19</v>
      </c>
      <c r="I35" s="16">
        <v>45732</v>
      </c>
      <c r="J35" s="16">
        <v>45733</v>
      </c>
      <c r="K35" s="17">
        <v>25000</v>
      </c>
      <c r="L35" s="25"/>
      <c r="M35" s="15"/>
    </row>
    <row r="36" spans="1:13" x14ac:dyDescent="0.25">
      <c r="A36" s="12">
        <v>11</v>
      </c>
      <c r="B36" s="12" t="s">
        <v>22</v>
      </c>
      <c r="C36" s="12" t="s">
        <v>145</v>
      </c>
      <c r="D36" s="12">
        <v>275184</v>
      </c>
      <c r="E36" s="12" t="s">
        <v>24</v>
      </c>
      <c r="F36" s="12" t="s">
        <v>146</v>
      </c>
      <c r="G36" s="12" t="s">
        <v>20</v>
      </c>
      <c r="H36" s="12" t="s">
        <v>19</v>
      </c>
      <c r="I36" s="13">
        <v>45733</v>
      </c>
      <c r="J36" s="13" t="s">
        <v>147</v>
      </c>
      <c r="K36" s="14">
        <v>38000</v>
      </c>
      <c r="L36" s="26"/>
      <c r="M36" s="12"/>
    </row>
    <row r="37" spans="1:13" x14ac:dyDescent="0.25">
      <c r="A37" s="12">
        <v>12</v>
      </c>
      <c r="B37" s="15" t="s">
        <v>26</v>
      </c>
      <c r="C37" s="15" t="s">
        <v>149</v>
      </c>
      <c r="D37" s="15">
        <v>275633</v>
      </c>
      <c r="E37" s="15" t="s">
        <v>150</v>
      </c>
      <c r="F37" s="15" t="s">
        <v>151</v>
      </c>
      <c r="G37" s="15" t="s">
        <v>18</v>
      </c>
      <c r="H37" s="15" t="s">
        <v>21</v>
      </c>
      <c r="I37" s="16">
        <v>45735</v>
      </c>
      <c r="J37" s="16">
        <v>45735</v>
      </c>
      <c r="K37" s="17">
        <v>100</v>
      </c>
      <c r="L37" s="25"/>
      <c r="M37" s="15"/>
    </row>
    <row r="38" spans="1:13" x14ac:dyDescent="0.25">
      <c r="A38" s="12">
        <v>13</v>
      </c>
      <c r="B38" s="15" t="s">
        <v>26</v>
      </c>
      <c r="C38" s="15" t="s">
        <v>152</v>
      </c>
      <c r="D38" s="15">
        <v>276012</v>
      </c>
      <c r="E38" s="15" t="s">
        <v>23</v>
      </c>
      <c r="F38" s="15" t="s">
        <v>153</v>
      </c>
      <c r="G38" s="15" t="s">
        <v>18</v>
      </c>
      <c r="H38" s="15" t="s">
        <v>19</v>
      </c>
      <c r="I38" s="16">
        <v>45717</v>
      </c>
      <c r="J38" s="16">
        <v>45738</v>
      </c>
      <c r="K38" s="17">
        <v>32000</v>
      </c>
      <c r="L38" s="25"/>
      <c r="M38" s="15"/>
    </row>
    <row r="39" spans="1:13" x14ac:dyDescent="0.25">
      <c r="A39" s="12">
        <v>14</v>
      </c>
      <c r="B39" s="15" t="s">
        <v>16</v>
      </c>
      <c r="C39" s="15" t="s">
        <v>154</v>
      </c>
      <c r="D39" s="15">
        <v>276138</v>
      </c>
      <c r="E39" s="15" t="s">
        <v>24</v>
      </c>
      <c r="F39" s="15" t="s">
        <v>155</v>
      </c>
      <c r="G39" s="15" t="s">
        <v>18</v>
      </c>
      <c r="H39" s="15" t="s">
        <v>19</v>
      </c>
      <c r="I39" s="16">
        <v>45736</v>
      </c>
      <c r="J39" s="16">
        <v>45740</v>
      </c>
      <c r="K39" s="17">
        <v>85000</v>
      </c>
      <c r="L39" s="25" t="s">
        <v>83</v>
      </c>
      <c r="M39" s="15"/>
    </row>
    <row r="40" spans="1:13" x14ac:dyDescent="0.25">
      <c r="A40" s="12">
        <v>15</v>
      </c>
      <c r="B40" s="15" t="s">
        <v>16</v>
      </c>
      <c r="C40" s="15" t="s">
        <v>156</v>
      </c>
      <c r="D40" s="15">
        <v>276094</v>
      </c>
      <c r="E40" s="15" t="s">
        <v>24</v>
      </c>
      <c r="F40" s="15" t="s">
        <v>157</v>
      </c>
      <c r="G40" s="15" t="s">
        <v>18</v>
      </c>
      <c r="H40" s="15" t="s">
        <v>19</v>
      </c>
      <c r="I40" s="16">
        <v>45737</v>
      </c>
      <c r="J40" s="16">
        <v>45740</v>
      </c>
      <c r="K40" s="17">
        <v>46000</v>
      </c>
      <c r="L40" s="25" t="s">
        <v>158</v>
      </c>
      <c r="M40" s="15"/>
    </row>
    <row r="41" spans="1:13" x14ac:dyDescent="0.25">
      <c r="A41" s="12">
        <v>16</v>
      </c>
      <c r="B41" s="15" t="s">
        <v>50</v>
      </c>
      <c r="C41" s="15" t="s">
        <v>159</v>
      </c>
      <c r="D41" s="15">
        <v>276630</v>
      </c>
      <c r="E41" s="15" t="s">
        <v>166</v>
      </c>
      <c r="F41" s="15" t="s">
        <v>161</v>
      </c>
      <c r="G41" s="15" t="s">
        <v>20</v>
      </c>
      <c r="H41" s="15" t="s">
        <v>21</v>
      </c>
      <c r="I41" s="16">
        <v>45712</v>
      </c>
      <c r="J41" s="16">
        <v>45744</v>
      </c>
      <c r="K41" s="17">
        <v>5000</v>
      </c>
      <c r="L41" s="25" t="s">
        <v>162</v>
      </c>
      <c r="M41" s="15"/>
    </row>
    <row r="42" spans="1:13" x14ac:dyDescent="0.25">
      <c r="A42" s="15">
        <v>17</v>
      </c>
      <c r="B42" s="15" t="s">
        <v>50</v>
      </c>
      <c r="C42" s="15" t="s">
        <v>160</v>
      </c>
      <c r="D42" s="15">
        <v>276743</v>
      </c>
      <c r="E42" s="15" t="s">
        <v>167</v>
      </c>
      <c r="F42" s="15" t="s">
        <v>161</v>
      </c>
      <c r="G42" s="15" t="s">
        <v>20</v>
      </c>
      <c r="H42" s="15" t="s">
        <v>21</v>
      </c>
      <c r="I42" s="16">
        <v>45712</v>
      </c>
      <c r="J42" s="16">
        <v>45744</v>
      </c>
      <c r="K42" s="17">
        <v>6600</v>
      </c>
      <c r="L42" s="25" t="s">
        <v>162</v>
      </c>
      <c r="M42" s="15"/>
    </row>
    <row r="43" spans="1:13" x14ac:dyDescent="0.25">
      <c r="A43" s="15">
        <v>18</v>
      </c>
      <c r="B43" s="15" t="s">
        <v>16</v>
      </c>
      <c r="C43" s="15" t="s">
        <v>163</v>
      </c>
      <c r="D43" s="15">
        <v>276262</v>
      </c>
      <c r="E43" s="15" t="s">
        <v>17</v>
      </c>
      <c r="F43" s="15" t="s">
        <v>168</v>
      </c>
      <c r="G43" s="15" t="s">
        <v>20</v>
      </c>
      <c r="H43" s="15" t="s">
        <v>19</v>
      </c>
      <c r="I43" s="16">
        <v>45737</v>
      </c>
      <c r="J43" s="16">
        <v>45743</v>
      </c>
      <c r="K43" s="17">
        <v>22500</v>
      </c>
      <c r="L43" s="25"/>
      <c r="M43" s="15"/>
    </row>
    <row r="44" spans="1:13" x14ac:dyDescent="0.25">
      <c r="A44" s="15">
        <v>19</v>
      </c>
      <c r="B44" s="15" t="s">
        <v>22</v>
      </c>
      <c r="C44" s="15" t="s">
        <v>164</v>
      </c>
      <c r="D44" s="15">
        <v>276706</v>
      </c>
      <c r="E44" s="15" t="s">
        <v>17</v>
      </c>
      <c r="F44" s="15" t="s">
        <v>174</v>
      </c>
      <c r="G44" s="15" t="s">
        <v>20</v>
      </c>
      <c r="H44" s="15" t="s">
        <v>19</v>
      </c>
      <c r="I44" s="16">
        <v>45741</v>
      </c>
      <c r="J44" s="16">
        <v>45743</v>
      </c>
      <c r="K44" s="17">
        <v>21500</v>
      </c>
      <c r="L44" s="25"/>
      <c r="M44" s="15"/>
    </row>
    <row r="45" spans="1:13" x14ac:dyDescent="0.25">
      <c r="A45" s="15">
        <v>20</v>
      </c>
      <c r="B45" s="15" t="s">
        <v>22</v>
      </c>
      <c r="C45" s="15" t="s">
        <v>169</v>
      </c>
      <c r="D45" s="15">
        <v>276901</v>
      </c>
      <c r="E45" s="15" t="s">
        <v>24</v>
      </c>
      <c r="F45" s="15" t="s">
        <v>170</v>
      </c>
      <c r="G45" s="15" t="s">
        <v>18</v>
      </c>
      <c r="H45" s="15" t="s">
        <v>19</v>
      </c>
      <c r="I45" s="16">
        <v>45742</v>
      </c>
      <c r="J45" s="16">
        <v>45744</v>
      </c>
      <c r="K45" s="17">
        <v>55000</v>
      </c>
      <c r="L45" s="25"/>
      <c r="M45" s="15"/>
    </row>
    <row r="46" spans="1:13" ht="15.75" thickBot="1" x14ac:dyDescent="0.3">
      <c r="A46" s="15">
        <v>21</v>
      </c>
      <c r="B46" s="15" t="s">
        <v>16</v>
      </c>
      <c r="C46" s="15" t="s">
        <v>171</v>
      </c>
      <c r="D46" s="15">
        <v>276995</v>
      </c>
      <c r="E46" s="15" t="s">
        <v>17</v>
      </c>
      <c r="F46" s="15" t="s">
        <v>172</v>
      </c>
      <c r="G46" s="15" t="s">
        <v>20</v>
      </c>
      <c r="H46" s="15" t="s">
        <v>19</v>
      </c>
      <c r="I46" s="16">
        <v>45742</v>
      </c>
      <c r="J46" s="16">
        <v>45744</v>
      </c>
      <c r="K46" s="17">
        <v>23000</v>
      </c>
      <c r="L46" s="25"/>
      <c r="M46" s="15"/>
    </row>
    <row r="47" spans="1:13" ht="15.75" thickBot="1" x14ac:dyDescent="0.3">
      <c r="A47" s="132" t="s">
        <v>35</v>
      </c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4"/>
    </row>
    <row r="48" spans="1:13" x14ac:dyDescent="0.25">
      <c r="A48" s="12">
        <v>1</v>
      </c>
      <c r="B48" s="12" t="s">
        <v>22</v>
      </c>
      <c r="C48" s="15" t="s">
        <v>175</v>
      </c>
      <c r="D48" s="12">
        <v>278878</v>
      </c>
      <c r="E48" s="12" t="s">
        <v>48</v>
      </c>
      <c r="F48" s="12" t="s">
        <v>176</v>
      </c>
      <c r="G48" s="12" t="s">
        <v>18</v>
      </c>
      <c r="H48" s="12" t="s">
        <v>21</v>
      </c>
      <c r="I48" s="13">
        <v>45757</v>
      </c>
      <c r="J48" s="13">
        <v>45757</v>
      </c>
      <c r="K48" s="14">
        <v>150</v>
      </c>
      <c r="L48" s="42"/>
      <c r="M48" s="14"/>
    </row>
    <row r="49" spans="1:13" x14ac:dyDescent="0.25">
      <c r="A49" s="12">
        <v>2</v>
      </c>
      <c r="B49" s="12" t="s">
        <v>16</v>
      </c>
      <c r="C49" s="12" t="s">
        <v>177</v>
      </c>
      <c r="D49" s="12">
        <v>278854</v>
      </c>
      <c r="E49" s="12" t="s">
        <v>17</v>
      </c>
      <c r="F49" s="12" t="s">
        <v>47</v>
      </c>
      <c r="G49" s="12" t="s">
        <v>20</v>
      </c>
      <c r="H49" s="12" t="s">
        <v>19</v>
      </c>
      <c r="I49" s="13">
        <v>45752</v>
      </c>
      <c r="J49" s="13">
        <v>45761</v>
      </c>
      <c r="K49" s="14">
        <v>14000</v>
      </c>
      <c r="L49" s="42"/>
      <c r="M49" s="12"/>
    </row>
    <row r="50" spans="1:13" x14ac:dyDescent="0.25">
      <c r="A50" s="12">
        <v>3</v>
      </c>
      <c r="B50" s="12" t="s">
        <v>16</v>
      </c>
      <c r="C50" s="12" t="s">
        <v>178</v>
      </c>
      <c r="D50" s="12">
        <v>279565</v>
      </c>
      <c r="E50" s="12" t="s">
        <v>23</v>
      </c>
      <c r="F50" s="12" t="s">
        <v>179</v>
      </c>
      <c r="G50" s="12" t="s">
        <v>18</v>
      </c>
      <c r="H50" s="12" t="s">
        <v>19</v>
      </c>
      <c r="I50" s="13">
        <v>45759</v>
      </c>
      <c r="J50" s="13">
        <v>45768</v>
      </c>
      <c r="K50" s="14">
        <v>43000</v>
      </c>
      <c r="L50" s="26" t="s">
        <v>180</v>
      </c>
      <c r="M50" s="12"/>
    </row>
    <row r="51" spans="1:13" x14ac:dyDescent="0.25">
      <c r="A51" s="12">
        <v>4</v>
      </c>
      <c r="B51" s="12" t="s">
        <v>181</v>
      </c>
      <c r="C51" s="12" t="s">
        <v>182</v>
      </c>
      <c r="D51" s="12">
        <v>279743</v>
      </c>
      <c r="E51" s="12" t="s">
        <v>17</v>
      </c>
      <c r="F51" s="12" t="s">
        <v>34</v>
      </c>
      <c r="G51" s="12" t="s">
        <v>20</v>
      </c>
      <c r="H51" s="12" t="s">
        <v>19</v>
      </c>
      <c r="I51" s="13">
        <v>45763</v>
      </c>
      <c r="J51" s="13">
        <v>45768</v>
      </c>
      <c r="K51" s="14">
        <v>16000</v>
      </c>
      <c r="L51" s="26" t="s">
        <v>67</v>
      </c>
      <c r="M51" s="12"/>
    </row>
    <row r="52" spans="1:13" x14ac:dyDescent="0.25">
      <c r="A52" s="12">
        <v>5</v>
      </c>
      <c r="B52" s="12" t="s">
        <v>183</v>
      </c>
      <c r="C52" s="12" t="s">
        <v>184</v>
      </c>
      <c r="D52" s="12">
        <v>279976</v>
      </c>
      <c r="E52" s="12" t="s">
        <v>24</v>
      </c>
      <c r="F52" s="12" t="s">
        <v>185</v>
      </c>
      <c r="G52" s="12" t="s">
        <v>20</v>
      </c>
      <c r="H52" s="12" t="s">
        <v>19</v>
      </c>
      <c r="I52" s="13">
        <v>45769</v>
      </c>
      <c r="J52" s="13">
        <v>45770</v>
      </c>
      <c r="K52" s="14">
        <v>33000</v>
      </c>
      <c r="L52" s="26"/>
      <c r="M52" s="12"/>
    </row>
    <row r="53" spans="1:13" x14ac:dyDescent="0.25">
      <c r="A53" s="12">
        <v>6</v>
      </c>
      <c r="B53" s="12" t="s">
        <v>16</v>
      </c>
      <c r="C53" s="12" t="s">
        <v>186</v>
      </c>
      <c r="D53" s="12">
        <v>280218</v>
      </c>
      <c r="E53" s="12" t="s">
        <v>24</v>
      </c>
      <c r="F53" s="12" t="s">
        <v>187</v>
      </c>
      <c r="G53" s="12" t="s">
        <v>18</v>
      </c>
      <c r="H53" s="12" t="s">
        <v>19</v>
      </c>
      <c r="I53" s="13">
        <v>45770</v>
      </c>
      <c r="J53" s="13">
        <v>45771</v>
      </c>
      <c r="K53" s="14">
        <v>25000</v>
      </c>
      <c r="L53" s="26"/>
      <c r="M53" s="12"/>
    </row>
    <row r="54" spans="1:13" x14ac:dyDescent="0.25">
      <c r="A54" s="12">
        <v>7</v>
      </c>
      <c r="B54" s="12" t="s">
        <v>183</v>
      </c>
      <c r="C54" s="12" t="s">
        <v>188</v>
      </c>
      <c r="D54" s="12">
        <v>280237</v>
      </c>
      <c r="E54" s="12" t="s">
        <v>24</v>
      </c>
      <c r="F54" s="12" t="s">
        <v>189</v>
      </c>
      <c r="G54" s="12" t="s">
        <v>20</v>
      </c>
      <c r="H54" s="12" t="s">
        <v>19</v>
      </c>
      <c r="I54" s="13">
        <v>45770</v>
      </c>
      <c r="J54" s="13">
        <v>45771</v>
      </c>
      <c r="K54" s="14">
        <v>59500</v>
      </c>
      <c r="L54" s="26"/>
      <c r="M54" s="12"/>
    </row>
    <row r="55" spans="1:13" x14ac:dyDescent="0.25">
      <c r="A55" s="12">
        <v>8</v>
      </c>
      <c r="B55" s="15" t="s">
        <v>190</v>
      </c>
      <c r="C55" s="15" t="s">
        <v>191</v>
      </c>
      <c r="D55" s="15">
        <v>280284</v>
      </c>
      <c r="E55" s="15" t="s">
        <v>17</v>
      </c>
      <c r="F55" s="44" t="s">
        <v>192</v>
      </c>
      <c r="G55" s="15" t="s">
        <v>18</v>
      </c>
      <c r="H55" s="15" t="s">
        <v>19</v>
      </c>
      <c r="I55" s="16">
        <v>45769</v>
      </c>
      <c r="J55" s="16">
        <v>45771</v>
      </c>
      <c r="K55" s="17">
        <v>18000</v>
      </c>
      <c r="L55" s="25"/>
      <c r="M55" s="15"/>
    </row>
    <row r="56" spans="1:13" x14ac:dyDescent="0.25">
      <c r="A56" s="12">
        <v>9</v>
      </c>
      <c r="B56" s="15" t="s">
        <v>181</v>
      </c>
      <c r="C56" s="15" t="s">
        <v>193</v>
      </c>
      <c r="D56" s="15">
        <v>280311</v>
      </c>
      <c r="E56" s="15" t="s">
        <v>24</v>
      </c>
      <c r="F56" s="15" t="s">
        <v>194</v>
      </c>
      <c r="G56" s="15" t="s">
        <v>20</v>
      </c>
      <c r="H56" s="15" t="s">
        <v>19</v>
      </c>
      <c r="I56" s="16">
        <v>45770</v>
      </c>
      <c r="J56" s="16">
        <v>45771</v>
      </c>
      <c r="K56" s="17">
        <v>60000</v>
      </c>
      <c r="L56" s="25"/>
      <c r="M56" s="15"/>
    </row>
    <row r="57" spans="1:13" x14ac:dyDescent="0.25">
      <c r="A57" s="12">
        <v>10</v>
      </c>
      <c r="B57" s="15" t="s">
        <v>190</v>
      </c>
      <c r="C57" s="15" t="s">
        <v>195</v>
      </c>
      <c r="D57" s="15">
        <v>280338</v>
      </c>
      <c r="E57" s="15" t="s">
        <v>17</v>
      </c>
      <c r="F57" s="15" t="s">
        <v>196</v>
      </c>
      <c r="G57" s="15" t="s">
        <v>18</v>
      </c>
      <c r="H57" s="15" t="s">
        <v>19</v>
      </c>
      <c r="I57" s="16">
        <v>45769</v>
      </c>
      <c r="J57" s="16">
        <v>45771</v>
      </c>
      <c r="K57" s="17">
        <v>18000</v>
      </c>
      <c r="L57" s="25"/>
      <c r="M57" s="15"/>
    </row>
    <row r="58" spans="1:13" x14ac:dyDescent="0.25">
      <c r="A58" s="12">
        <v>11</v>
      </c>
      <c r="B58" s="12" t="s">
        <v>183</v>
      </c>
      <c r="C58" s="12" t="s">
        <v>197</v>
      </c>
      <c r="D58" s="12">
        <v>280687</v>
      </c>
      <c r="E58" s="12" t="s">
        <v>27</v>
      </c>
      <c r="F58" s="12" t="s">
        <v>198</v>
      </c>
      <c r="G58" s="12" t="s">
        <v>18</v>
      </c>
      <c r="H58" s="12" t="s">
        <v>19</v>
      </c>
      <c r="I58" s="13">
        <v>45775</v>
      </c>
      <c r="J58" s="13">
        <v>45775</v>
      </c>
      <c r="K58" s="14">
        <v>15500</v>
      </c>
      <c r="L58" s="26"/>
      <c r="M58" s="12"/>
    </row>
    <row r="59" spans="1:13" x14ac:dyDescent="0.25">
      <c r="A59" s="12">
        <v>12</v>
      </c>
      <c r="B59" s="15" t="s">
        <v>183</v>
      </c>
      <c r="C59" s="15" t="s">
        <v>199</v>
      </c>
      <c r="D59" s="15">
        <v>280854</v>
      </c>
      <c r="E59" s="15" t="s">
        <v>24</v>
      </c>
      <c r="F59" s="15" t="s">
        <v>185</v>
      </c>
      <c r="G59" s="15" t="s">
        <v>20</v>
      </c>
      <c r="H59" s="15" t="s">
        <v>19</v>
      </c>
      <c r="I59" s="16">
        <v>45775</v>
      </c>
      <c r="J59" s="16">
        <v>45776</v>
      </c>
      <c r="K59" s="17">
        <v>40000</v>
      </c>
      <c r="L59" s="25"/>
      <c r="M59" s="15"/>
    </row>
    <row r="60" spans="1:13" x14ac:dyDescent="0.25">
      <c r="A60" s="12">
        <v>13</v>
      </c>
      <c r="B60" s="15" t="s">
        <v>16</v>
      </c>
      <c r="C60" s="15" t="s">
        <v>200</v>
      </c>
      <c r="D60" s="15">
        <v>280802</v>
      </c>
      <c r="E60" s="15" t="s">
        <v>201</v>
      </c>
      <c r="F60" s="15" t="s">
        <v>202</v>
      </c>
      <c r="G60" s="15" t="s">
        <v>18</v>
      </c>
      <c r="H60" s="15" t="s">
        <v>19</v>
      </c>
      <c r="I60" s="16">
        <v>45772</v>
      </c>
      <c r="J60" s="16">
        <v>45776</v>
      </c>
      <c r="K60" s="17">
        <v>86000</v>
      </c>
      <c r="L60" s="25" t="s">
        <v>203</v>
      </c>
      <c r="M60" s="15"/>
    </row>
    <row r="61" spans="1:13" x14ac:dyDescent="0.25">
      <c r="A61" s="12">
        <v>14</v>
      </c>
      <c r="B61" s="15" t="s">
        <v>26</v>
      </c>
      <c r="C61" s="15" t="s">
        <v>204</v>
      </c>
      <c r="D61" s="15">
        <v>280964</v>
      </c>
      <c r="E61" s="15" t="s">
        <v>23</v>
      </c>
      <c r="F61" s="15" t="s">
        <v>205</v>
      </c>
      <c r="G61" s="15" t="s">
        <v>20</v>
      </c>
      <c r="H61" s="15" t="s">
        <v>19</v>
      </c>
      <c r="I61" s="16">
        <v>45772</v>
      </c>
      <c r="J61" s="16">
        <v>45776</v>
      </c>
      <c r="K61" s="17">
        <v>45000</v>
      </c>
      <c r="L61" s="25"/>
      <c r="M61" s="15"/>
    </row>
    <row r="62" spans="1:13" ht="15.75" thickBot="1" x14ac:dyDescent="0.3">
      <c r="A62" s="12">
        <v>15</v>
      </c>
      <c r="B62" s="15" t="s">
        <v>22</v>
      </c>
      <c r="C62" s="15" t="s">
        <v>206</v>
      </c>
      <c r="D62" s="15">
        <v>280994</v>
      </c>
      <c r="E62" s="15" t="s">
        <v>41</v>
      </c>
      <c r="F62" s="15" t="s">
        <v>207</v>
      </c>
      <c r="G62" s="15" t="s">
        <v>20</v>
      </c>
      <c r="H62" s="15" t="s">
        <v>19</v>
      </c>
      <c r="I62" s="16">
        <v>45776</v>
      </c>
      <c r="J62" s="16">
        <v>45776</v>
      </c>
      <c r="K62" s="17">
        <v>25000</v>
      </c>
      <c r="L62" s="25"/>
      <c r="M62" s="15"/>
    </row>
    <row r="63" spans="1:13" ht="15.75" thickBot="1" x14ac:dyDescent="0.3">
      <c r="A63" s="132" t="s">
        <v>39</v>
      </c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4"/>
    </row>
    <row r="64" spans="1:13" x14ac:dyDescent="0.25">
      <c r="A64" s="12">
        <v>1</v>
      </c>
      <c r="B64" s="12" t="s">
        <v>183</v>
      </c>
      <c r="C64" s="15" t="s">
        <v>208</v>
      </c>
      <c r="D64" s="12">
        <v>281742</v>
      </c>
      <c r="E64" s="12" t="s">
        <v>17</v>
      </c>
      <c r="F64" s="12" t="s">
        <v>209</v>
      </c>
      <c r="G64" s="12" t="s">
        <v>20</v>
      </c>
      <c r="H64" s="12" t="s">
        <v>19</v>
      </c>
      <c r="I64" s="13">
        <v>45779</v>
      </c>
      <c r="J64" s="13">
        <v>45782</v>
      </c>
      <c r="K64" s="14">
        <v>22000</v>
      </c>
      <c r="L64" s="42"/>
      <c r="M64" s="14"/>
    </row>
    <row r="65" spans="1:13" x14ac:dyDescent="0.25">
      <c r="A65" s="15">
        <v>2</v>
      </c>
      <c r="B65" s="15" t="s">
        <v>16</v>
      </c>
      <c r="C65" s="15" t="s">
        <v>211</v>
      </c>
      <c r="D65" s="15">
        <v>281774</v>
      </c>
      <c r="E65" s="15" t="s">
        <v>23</v>
      </c>
      <c r="F65" s="15" t="s">
        <v>111</v>
      </c>
      <c r="G65" s="15" t="s">
        <v>20</v>
      </c>
      <c r="H65" s="15" t="s">
        <v>19</v>
      </c>
      <c r="I65" s="16">
        <v>45781</v>
      </c>
      <c r="J65" s="16">
        <v>45784</v>
      </c>
      <c r="K65" s="17">
        <v>75000</v>
      </c>
      <c r="L65" s="77" t="s">
        <v>212</v>
      </c>
      <c r="M65" s="15"/>
    </row>
    <row r="66" spans="1:13" x14ac:dyDescent="0.25">
      <c r="A66" s="15">
        <v>3</v>
      </c>
      <c r="B66" s="15" t="s">
        <v>190</v>
      </c>
      <c r="C66" s="15" t="s">
        <v>213</v>
      </c>
      <c r="D66" s="15">
        <v>282563</v>
      </c>
      <c r="E66" s="15" t="s">
        <v>23</v>
      </c>
      <c r="F66" s="15" t="s">
        <v>214</v>
      </c>
      <c r="G66" s="15" t="s">
        <v>18</v>
      </c>
      <c r="H66" s="15" t="s">
        <v>19</v>
      </c>
      <c r="I66" s="16">
        <v>45786</v>
      </c>
      <c r="J66" s="16">
        <v>45790</v>
      </c>
      <c r="K66" s="17">
        <v>20000</v>
      </c>
      <c r="L66" s="25" t="s">
        <v>215</v>
      </c>
      <c r="M66" s="15"/>
    </row>
    <row r="67" spans="1:13" x14ac:dyDescent="0.25">
      <c r="A67" s="15">
        <v>4</v>
      </c>
      <c r="B67" s="15" t="s">
        <v>183</v>
      </c>
      <c r="C67" s="15" t="s">
        <v>216</v>
      </c>
      <c r="D67" s="15">
        <v>282713</v>
      </c>
      <c r="E67" s="15" t="s">
        <v>217</v>
      </c>
      <c r="F67" s="15" t="s">
        <v>226</v>
      </c>
      <c r="G67" s="15" t="s">
        <v>20</v>
      </c>
      <c r="H67" s="15" t="s">
        <v>19</v>
      </c>
      <c r="I67" s="16">
        <v>45789</v>
      </c>
      <c r="J67" s="16">
        <v>45790</v>
      </c>
      <c r="K67" s="17">
        <v>35000</v>
      </c>
      <c r="L67" s="25"/>
      <c r="M67" s="15"/>
    </row>
    <row r="68" spans="1:13" x14ac:dyDescent="0.25">
      <c r="A68" s="15">
        <v>5</v>
      </c>
      <c r="B68" s="15" t="s">
        <v>183</v>
      </c>
      <c r="C68" s="15" t="s">
        <v>218</v>
      </c>
      <c r="D68" s="15">
        <v>282937</v>
      </c>
      <c r="E68" s="15" t="s">
        <v>17</v>
      </c>
      <c r="F68" s="15" t="s">
        <v>209</v>
      </c>
      <c r="G68" s="15" t="s">
        <v>20</v>
      </c>
      <c r="H68" s="15" t="s">
        <v>19</v>
      </c>
      <c r="I68" s="16">
        <v>45789</v>
      </c>
      <c r="J68" s="16">
        <v>45792</v>
      </c>
      <c r="K68" s="17">
        <v>15000</v>
      </c>
      <c r="L68" s="25" t="s">
        <v>219</v>
      </c>
      <c r="M68" s="15"/>
    </row>
    <row r="69" spans="1:13" x14ac:dyDescent="0.25">
      <c r="A69" s="15">
        <v>6</v>
      </c>
      <c r="B69" s="15" t="s">
        <v>16</v>
      </c>
      <c r="C69" s="15" t="s">
        <v>220</v>
      </c>
      <c r="D69" s="15">
        <v>281171</v>
      </c>
      <c r="E69" s="15" t="s">
        <v>17</v>
      </c>
      <c r="F69" s="15" t="s">
        <v>63</v>
      </c>
      <c r="G69" s="15" t="s">
        <v>18</v>
      </c>
      <c r="H69" s="15" t="s">
        <v>19</v>
      </c>
      <c r="I69" s="16">
        <v>45791</v>
      </c>
      <c r="J69" s="16">
        <v>45792</v>
      </c>
      <c r="K69" s="17">
        <v>20000</v>
      </c>
      <c r="L69" s="25" t="s">
        <v>221</v>
      </c>
      <c r="M69" s="15"/>
    </row>
    <row r="70" spans="1:13" x14ac:dyDescent="0.25">
      <c r="A70" s="15">
        <v>7</v>
      </c>
      <c r="B70" s="15" t="s">
        <v>16</v>
      </c>
      <c r="C70" s="15" t="s">
        <v>222</v>
      </c>
      <c r="D70" s="15">
        <v>283201</v>
      </c>
      <c r="E70" s="15" t="s">
        <v>24</v>
      </c>
      <c r="F70" s="15" t="s">
        <v>223</v>
      </c>
      <c r="G70" s="15" t="s">
        <v>20</v>
      </c>
      <c r="H70" s="15" t="s">
        <v>19</v>
      </c>
      <c r="I70" s="16">
        <v>45793</v>
      </c>
      <c r="J70" s="16">
        <v>45796</v>
      </c>
      <c r="K70" s="17">
        <v>22000</v>
      </c>
      <c r="L70" s="25" t="s">
        <v>112</v>
      </c>
      <c r="M70" s="15"/>
    </row>
    <row r="71" spans="1:13" x14ac:dyDescent="0.25">
      <c r="A71" s="15">
        <v>8</v>
      </c>
      <c r="B71" s="15" t="s">
        <v>16</v>
      </c>
      <c r="C71" s="15" t="s">
        <v>225</v>
      </c>
      <c r="D71" s="15">
        <v>283353</v>
      </c>
      <c r="E71" s="15" t="s">
        <v>17</v>
      </c>
      <c r="F71" s="15" t="s">
        <v>224</v>
      </c>
      <c r="G71" s="15" t="s">
        <v>20</v>
      </c>
      <c r="H71" s="15" t="s">
        <v>19</v>
      </c>
      <c r="I71" s="16">
        <v>45795</v>
      </c>
      <c r="J71" s="16">
        <v>45796</v>
      </c>
      <c r="K71" s="17">
        <v>22000</v>
      </c>
      <c r="L71" s="25"/>
      <c r="M71" s="15"/>
    </row>
    <row r="72" spans="1:13" x14ac:dyDescent="0.25">
      <c r="A72" s="15">
        <v>9</v>
      </c>
      <c r="B72" s="15" t="s">
        <v>50</v>
      </c>
      <c r="C72" s="15" t="s">
        <v>227</v>
      </c>
      <c r="D72" s="15">
        <v>284488</v>
      </c>
      <c r="E72" s="15" t="s">
        <v>41</v>
      </c>
      <c r="F72" s="15" t="s">
        <v>46</v>
      </c>
      <c r="G72" s="15" t="s">
        <v>18</v>
      </c>
      <c r="H72" s="15" t="s">
        <v>21</v>
      </c>
      <c r="I72" s="16">
        <v>45804</v>
      </c>
      <c r="J72" s="16">
        <v>45804</v>
      </c>
      <c r="K72" s="17">
        <v>500</v>
      </c>
      <c r="L72" s="25"/>
      <c r="M72" s="15"/>
    </row>
    <row r="73" spans="1:13" x14ac:dyDescent="0.25">
      <c r="A73" s="15">
        <v>10</v>
      </c>
      <c r="B73" s="15" t="s">
        <v>50</v>
      </c>
      <c r="C73" s="15" t="s">
        <v>228</v>
      </c>
      <c r="D73" s="15">
        <v>283735</v>
      </c>
      <c r="E73" s="15" t="s">
        <v>17</v>
      </c>
      <c r="F73" s="15" t="s">
        <v>229</v>
      </c>
      <c r="G73" s="15" t="s">
        <v>18</v>
      </c>
      <c r="H73" s="15" t="s">
        <v>19</v>
      </c>
      <c r="I73" s="16">
        <v>45789</v>
      </c>
      <c r="J73" s="16">
        <v>45807</v>
      </c>
      <c r="K73" s="17">
        <v>35000</v>
      </c>
      <c r="L73" s="25" t="s">
        <v>251</v>
      </c>
      <c r="M73" s="15"/>
    </row>
    <row r="74" spans="1:13" x14ac:dyDescent="0.25">
      <c r="A74" s="15">
        <v>11</v>
      </c>
      <c r="B74" s="15" t="s">
        <v>183</v>
      </c>
      <c r="C74" s="15" t="s">
        <v>230</v>
      </c>
      <c r="D74" s="15">
        <v>283749</v>
      </c>
      <c r="E74" s="15" t="s">
        <v>24</v>
      </c>
      <c r="F74" s="15" t="s">
        <v>231</v>
      </c>
      <c r="G74" s="15" t="s">
        <v>18</v>
      </c>
      <c r="H74" s="15" t="s">
        <v>19</v>
      </c>
      <c r="I74" s="16">
        <v>45797</v>
      </c>
      <c r="J74" s="16">
        <v>45798</v>
      </c>
      <c r="K74" s="17">
        <v>24000</v>
      </c>
      <c r="L74" s="25"/>
      <c r="M74" s="15"/>
    </row>
    <row r="75" spans="1:13" x14ac:dyDescent="0.25">
      <c r="A75" s="15">
        <v>12</v>
      </c>
      <c r="B75" s="15" t="s">
        <v>181</v>
      </c>
      <c r="C75" s="15" t="s">
        <v>232</v>
      </c>
      <c r="D75" s="15">
        <v>283894</v>
      </c>
      <c r="E75" s="15" t="s">
        <v>24</v>
      </c>
      <c r="F75" s="15" t="s">
        <v>233</v>
      </c>
      <c r="G75" s="15" t="s">
        <v>20</v>
      </c>
      <c r="H75" s="15" t="s">
        <v>19</v>
      </c>
      <c r="I75" s="16">
        <v>45798</v>
      </c>
      <c r="J75" s="16">
        <v>45800</v>
      </c>
      <c r="K75" s="17">
        <v>49000</v>
      </c>
      <c r="L75" s="25"/>
      <c r="M75" s="15"/>
    </row>
    <row r="76" spans="1:13" x14ac:dyDescent="0.25">
      <c r="A76" s="15">
        <v>13</v>
      </c>
      <c r="B76" s="15" t="s">
        <v>22</v>
      </c>
      <c r="C76" s="15" t="s">
        <v>234</v>
      </c>
      <c r="D76" s="15">
        <v>284097</v>
      </c>
      <c r="E76" s="15" t="s">
        <v>45</v>
      </c>
      <c r="F76" s="15" t="s">
        <v>56</v>
      </c>
      <c r="G76" s="15" t="s">
        <v>18</v>
      </c>
      <c r="H76" s="15" t="s">
        <v>19</v>
      </c>
      <c r="I76" s="16">
        <v>45799</v>
      </c>
      <c r="J76" s="16">
        <v>45800</v>
      </c>
      <c r="K76" s="17">
        <v>200</v>
      </c>
      <c r="L76" s="25"/>
      <c r="M76" s="15"/>
    </row>
    <row r="77" spans="1:13" x14ac:dyDescent="0.25">
      <c r="A77" s="15">
        <v>14</v>
      </c>
      <c r="B77" s="15" t="s">
        <v>22</v>
      </c>
      <c r="C77" s="15" t="s">
        <v>236</v>
      </c>
      <c r="D77" s="15">
        <v>284892</v>
      </c>
      <c r="E77" s="15" t="s">
        <v>24</v>
      </c>
      <c r="F77" s="15" t="s">
        <v>237</v>
      </c>
      <c r="G77" s="15" t="s">
        <v>18</v>
      </c>
      <c r="H77" s="15" t="s">
        <v>19</v>
      </c>
      <c r="I77" s="16">
        <v>45806</v>
      </c>
      <c r="J77" s="16">
        <v>45806</v>
      </c>
      <c r="K77" s="17">
        <v>6000</v>
      </c>
      <c r="L77" s="25"/>
      <c r="M77" s="15"/>
    </row>
    <row r="78" spans="1:13" x14ac:dyDescent="0.25">
      <c r="A78" s="15">
        <v>15</v>
      </c>
      <c r="B78" s="15" t="s">
        <v>16</v>
      </c>
      <c r="C78" s="15" t="s">
        <v>238</v>
      </c>
      <c r="D78" s="15">
        <v>284874</v>
      </c>
      <c r="E78" s="15" t="s">
        <v>24</v>
      </c>
      <c r="F78" s="15" t="s">
        <v>239</v>
      </c>
      <c r="G78" s="15" t="s">
        <v>20</v>
      </c>
      <c r="H78" s="15" t="s">
        <v>19</v>
      </c>
      <c r="I78" s="16">
        <v>45794</v>
      </c>
      <c r="J78" s="16">
        <v>44346</v>
      </c>
      <c r="K78" s="17">
        <v>45000</v>
      </c>
      <c r="L78" s="25" t="s">
        <v>240</v>
      </c>
      <c r="M78" s="15"/>
    </row>
    <row r="79" spans="1:13" x14ac:dyDescent="0.25">
      <c r="A79" s="15">
        <v>16</v>
      </c>
      <c r="B79" s="15" t="s">
        <v>190</v>
      </c>
      <c r="C79" s="15" t="s">
        <v>241</v>
      </c>
      <c r="D79" s="15">
        <v>284675</v>
      </c>
      <c r="E79" s="15" t="s">
        <v>17</v>
      </c>
      <c r="F79" s="15" t="s">
        <v>242</v>
      </c>
      <c r="G79" s="15" t="s">
        <v>18</v>
      </c>
      <c r="H79" s="15" t="s">
        <v>19</v>
      </c>
      <c r="I79" s="16">
        <v>45799</v>
      </c>
      <c r="J79" s="16">
        <v>45807</v>
      </c>
      <c r="K79" s="17">
        <v>45000</v>
      </c>
      <c r="L79" s="25" t="s">
        <v>243</v>
      </c>
      <c r="M79" s="15"/>
    </row>
    <row r="80" spans="1:13" x14ac:dyDescent="0.25">
      <c r="A80" s="15">
        <v>17</v>
      </c>
      <c r="B80" s="15" t="s">
        <v>22</v>
      </c>
      <c r="C80" s="15" t="s">
        <v>244</v>
      </c>
      <c r="D80" s="15">
        <v>285163</v>
      </c>
      <c r="E80" s="15" t="s">
        <v>17</v>
      </c>
      <c r="F80" s="15" t="s">
        <v>245</v>
      </c>
      <c r="G80" s="15" t="s">
        <v>18</v>
      </c>
      <c r="H80" s="15" t="s">
        <v>19</v>
      </c>
      <c r="I80" s="16">
        <v>45799</v>
      </c>
      <c r="J80" s="16">
        <v>45807</v>
      </c>
      <c r="K80" s="17">
        <v>18000</v>
      </c>
      <c r="L80" s="25"/>
      <c r="M80" s="15"/>
    </row>
    <row r="81" spans="1:13" x14ac:dyDescent="0.25">
      <c r="A81" s="15">
        <v>18</v>
      </c>
      <c r="B81" s="15" t="s">
        <v>22</v>
      </c>
      <c r="C81" s="15" t="s">
        <v>246</v>
      </c>
      <c r="D81" s="15">
        <v>285188</v>
      </c>
      <c r="E81" s="15" t="s">
        <v>51</v>
      </c>
      <c r="F81" s="15" t="s">
        <v>247</v>
      </c>
      <c r="G81" s="15" t="s">
        <v>18</v>
      </c>
      <c r="H81" s="15" t="s">
        <v>19</v>
      </c>
      <c r="I81" s="16">
        <v>45806</v>
      </c>
      <c r="J81" s="16">
        <v>45807</v>
      </c>
      <c r="K81" s="17">
        <v>220000</v>
      </c>
      <c r="L81" s="25" t="s">
        <v>248</v>
      </c>
      <c r="M81" s="15"/>
    </row>
    <row r="82" spans="1:13" ht="15.75" thickBot="1" x14ac:dyDescent="0.3">
      <c r="A82" s="15">
        <v>19</v>
      </c>
      <c r="B82" s="15" t="s">
        <v>50</v>
      </c>
      <c r="C82" s="15" t="s">
        <v>249</v>
      </c>
      <c r="D82" s="15">
        <v>283733</v>
      </c>
      <c r="E82" s="15" t="s">
        <v>17</v>
      </c>
      <c r="F82" s="15" t="s">
        <v>250</v>
      </c>
      <c r="G82" s="15" t="s">
        <v>18</v>
      </c>
      <c r="H82" s="15" t="s">
        <v>19</v>
      </c>
      <c r="I82" s="16">
        <v>45789</v>
      </c>
      <c r="J82" s="16">
        <v>45807</v>
      </c>
      <c r="K82" s="17">
        <v>36000</v>
      </c>
      <c r="L82" s="25" t="s">
        <v>251</v>
      </c>
      <c r="M82" s="15"/>
    </row>
    <row r="83" spans="1:13" ht="15.75" thickBot="1" x14ac:dyDescent="0.3">
      <c r="A83" s="132" t="s">
        <v>42</v>
      </c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4"/>
    </row>
    <row r="84" spans="1:13" x14ac:dyDescent="0.25">
      <c r="A84" s="19">
        <v>1</v>
      </c>
      <c r="B84" s="19" t="s">
        <v>22</v>
      </c>
      <c r="C84" s="15" t="s">
        <v>253</v>
      </c>
      <c r="D84" s="19">
        <v>285782</v>
      </c>
      <c r="E84" s="19" t="s">
        <v>17</v>
      </c>
      <c r="F84" s="32" t="s">
        <v>254</v>
      </c>
      <c r="G84" s="19" t="s">
        <v>20</v>
      </c>
      <c r="H84" s="19" t="s">
        <v>19</v>
      </c>
      <c r="I84" s="20">
        <v>45810</v>
      </c>
      <c r="J84" s="20">
        <v>45811</v>
      </c>
      <c r="K84" s="21">
        <v>17000</v>
      </c>
      <c r="L84" s="28" t="s">
        <v>235</v>
      </c>
      <c r="M84" s="21"/>
    </row>
    <row r="85" spans="1:13" x14ac:dyDescent="0.25">
      <c r="A85" s="12">
        <v>2</v>
      </c>
      <c r="B85" s="12" t="s">
        <v>16</v>
      </c>
      <c r="C85" s="12" t="s">
        <v>255</v>
      </c>
      <c r="D85" s="12">
        <v>285814</v>
      </c>
      <c r="E85" s="12" t="s">
        <v>24</v>
      </c>
      <c r="F85" s="12" t="s">
        <v>256</v>
      </c>
      <c r="G85" s="12" t="s">
        <v>20</v>
      </c>
      <c r="H85" s="12" t="s">
        <v>19</v>
      </c>
      <c r="I85" s="13">
        <v>45810</v>
      </c>
      <c r="J85" s="13">
        <v>45812</v>
      </c>
      <c r="K85" s="14">
        <v>38000</v>
      </c>
      <c r="L85" s="42" t="s">
        <v>120</v>
      </c>
      <c r="M85" s="12"/>
    </row>
    <row r="86" spans="1:13" x14ac:dyDescent="0.25">
      <c r="A86" s="12">
        <v>3</v>
      </c>
      <c r="B86" s="12" t="s">
        <v>183</v>
      </c>
      <c r="C86" s="12" t="s">
        <v>257</v>
      </c>
      <c r="D86" s="12">
        <v>286418</v>
      </c>
      <c r="E86" s="12" t="s">
        <v>24</v>
      </c>
      <c r="F86" s="12" t="s">
        <v>66</v>
      </c>
      <c r="G86" s="12" t="s">
        <v>20</v>
      </c>
      <c r="H86" s="12" t="s">
        <v>19</v>
      </c>
      <c r="I86" s="13">
        <v>45817</v>
      </c>
      <c r="J86" s="13">
        <v>45817</v>
      </c>
      <c r="K86" s="14">
        <v>35000</v>
      </c>
      <c r="L86" s="26"/>
      <c r="M86" s="12"/>
    </row>
    <row r="87" spans="1:13" x14ac:dyDescent="0.25">
      <c r="A87" s="12">
        <v>4</v>
      </c>
      <c r="B87" s="12" t="s">
        <v>16</v>
      </c>
      <c r="C87" s="12" t="s">
        <v>258</v>
      </c>
      <c r="D87" s="12">
        <v>286483</v>
      </c>
      <c r="E87" s="12" t="s">
        <v>17</v>
      </c>
      <c r="F87" s="12" t="s">
        <v>259</v>
      </c>
      <c r="G87" s="12" t="s">
        <v>18</v>
      </c>
      <c r="H87" s="12" t="s">
        <v>19</v>
      </c>
      <c r="I87" s="13">
        <v>45815</v>
      </c>
      <c r="J87" s="13">
        <v>45818</v>
      </c>
      <c r="K87" s="14">
        <v>27000</v>
      </c>
      <c r="L87" s="26" t="s">
        <v>260</v>
      </c>
      <c r="M87" s="12"/>
    </row>
    <row r="88" spans="1:13" x14ac:dyDescent="0.25">
      <c r="A88" s="12">
        <v>5</v>
      </c>
      <c r="B88" s="12" t="s">
        <v>16</v>
      </c>
      <c r="C88" s="12" t="s">
        <v>261</v>
      </c>
      <c r="D88" s="12">
        <v>286494</v>
      </c>
      <c r="E88" s="12" t="s">
        <v>17</v>
      </c>
      <c r="F88" s="12" t="s">
        <v>262</v>
      </c>
      <c r="G88" s="12" t="s">
        <v>20</v>
      </c>
      <c r="H88" s="12" t="s">
        <v>19</v>
      </c>
      <c r="I88" s="13">
        <v>45811</v>
      </c>
      <c r="J88" s="13">
        <v>45818</v>
      </c>
      <c r="K88" s="14">
        <v>17000</v>
      </c>
      <c r="L88" s="26"/>
      <c r="M88" s="12"/>
    </row>
    <row r="89" spans="1:13" x14ac:dyDescent="0.25">
      <c r="A89" s="12">
        <v>6</v>
      </c>
      <c r="B89" s="12" t="s">
        <v>190</v>
      </c>
      <c r="C89" s="12" t="s">
        <v>263</v>
      </c>
      <c r="D89" s="12">
        <v>287976</v>
      </c>
      <c r="E89" s="12" t="s">
        <v>24</v>
      </c>
      <c r="F89" s="12" t="s">
        <v>264</v>
      </c>
      <c r="G89" s="12" t="s">
        <v>20</v>
      </c>
      <c r="H89" s="12" t="s">
        <v>19</v>
      </c>
      <c r="I89" s="13">
        <v>45826</v>
      </c>
      <c r="J89" s="13">
        <v>45829</v>
      </c>
      <c r="K89" s="14">
        <v>60000</v>
      </c>
      <c r="L89" s="26"/>
      <c r="M89" s="12"/>
    </row>
    <row r="90" spans="1:13" x14ac:dyDescent="0.25">
      <c r="A90" s="12">
        <v>7</v>
      </c>
      <c r="B90" s="15" t="s">
        <v>26</v>
      </c>
      <c r="C90" s="12" t="s">
        <v>266</v>
      </c>
      <c r="D90" s="12">
        <v>288109</v>
      </c>
      <c r="E90" s="12" t="s">
        <v>32</v>
      </c>
      <c r="F90" s="12" t="s">
        <v>207</v>
      </c>
      <c r="G90" s="12" t="s">
        <v>20</v>
      </c>
      <c r="H90" s="12" t="s">
        <v>21</v>
      </c>
      <c r="I90" s="13">
        <v>45829</v>
      </c>
      <c r="J90" s="13">
        <v>45829</v>
      </c>
      <c r="K90" s="14">
        <v>250</v>
      </c>
      <c r="L90" s="26"/>
      <c r="M90" s="12"/>
    </row>
    <row r="91" spans="1:13" x14ac:dyDescent="0.25">
      <c r="A91" s="12">
        <v>8</v>
      </c>
      <c r="B91" s="15" t="s">
        <v>26</v>
      </c>
      <c r="C91" s="15" t="s">
        <v>267</v>
      </c>
      <c r="D91" s="15">
        <v>288178</v>
      </c>
      <c r="E91" s="15" t="s">
        <v>32</v>
      </c>
      <c r="F91" s="15" t="s">
        <v>268</v>
      </c>
      <c r="G91" s="15" t="s">
        <v>18</v>
      </c>
      <c r="H91" s="15" t="s">
        <v>21</v>
      </c>
      <c r="I91" s="16">
        <v>45828</v>
      </c>
      <c r="J91" s="16">
        <v>45831</v>
      </c>
      <c r="K91" s="17">
        <v>200</v>
      </c>
      <c r="L91" s="25" t="s">
        <v>269</v>
      </c>
      <c r="M91" s="15"/>
    </row>
    <row r="92" spans="1:13" x14ac:dyDescent="0.25">
      <c r="A92" s="12">
        <v>9</v>
      </c>
      <c r="B92" s="15" t="s">
        <v>16</v>
      </c>
      <c r="C92" s="15" t="s">
        <v>270</v>
      </c>
      <c r="D92" s="15">
        <v>288156</v>
      </c>
      <c r="E92" s="15" t="s">
        <v>17</v>
      </c>
      <c r="F92" s="15" t="s">
        <v>271</v>
      </c>
      <c r="G92" s="15" t="s">
        <v>20</v>
      </c>
      <c r="H92" s="15" t="s">
        <v>19</v>
      </c>
      <c r="I92" s="16">
        <v>45830</v>
      </c>
      <c r="J92" s="16">
        <v>45834</v>
      </c>
      <c r="K92" s="17">
        <v>17000</v>
      </c>
      <c r="L92" s="25" t="s">
        <v>272</v>
      </c>
      <c r="M92" s="15"/>
    </row>
    <row r="93" spans="1:13" x14ac:dyDescent="0.25">
      <c r="A93" s="12">
        <v>10</v>
      </c>
      <c r="B93" s="15" t="s">
        <v>22</v>
      </c>
      <c r="C93" s="15" t="s">
        <v>273</v>
      </c>
      <c r="D93" s="15">
        <v>288779</v>
      </c>
      <c r="E93" s="15" t="s">
        <v>17</v>
      </c>
      <c r="F93" s="15" t="s">
        <v>165</v>
      </c>
      <c r="G93" s="15" t="s">
        <v>18</v>
      </c>
      <c r="H93" s="15" t="s">
        <v>19</v>
      </c>
      <c r="I93" s="16">
        <v>45831</v>
      </c>
      <c r="J93" s="16">
        <v>45834</v>
      </c>
      <c r="K93" s="17">
        <v>40000</v>
      </c>
      <c r="L93" s="25"/>
      <c r="M93" s="15"/>
    </row>
    <row r="94" spans="1:13" x14ac:dyDescent="0.25">
      <c r="A94" s="12">
        <v>11</v>
      </c>
      <c r="B94" s="12" t="s">
        <v>22</v>
      </c>
      <c r="C94" s="12" t="s">
        <v>275</v>
      </c>
      <c r="D94" s="12">
        <v>288965</v>
      </c>
      <c r="E94" s="12" t="s">
        <v>37</v>
      </c>
      <c r="F94" s="12" t="s">
        <v>44</v>
      </c>
      <c r="G94" s="12" t="s">
        <v>20</v>
      </c>
      <c r="H94" s="12" t="s">
        <v>19</v>
      </c>
      <c r="I94" s="13">
        <v>45823</v>
      </c>
      <c r="J94" s="13">
        <v>45835</v>
      </c>
      <c r="K94" s="14">
        <v>3200000</v>
      </c>
      <c r="L94" s="26"/>
      <c r="M94" s="12"/>
    </row>
    <row r="95" spans="1:13" x14ac:dyDescent="0.25">
      <c r="A95" s="12">
        <v>12</v>
      </c>
      <c r="B95" s="15" t="s">
        <v>22</v>
      </c>
      <c r="C95" s="15" t="s">
        <v>276</v>
      </c>
      <c r="D95" s="15">
        <v>288971</v>
      </c>
      <c r="E95" s="15" t="s">
        <v>32</v>
      </c>
      <c r="F95" s="15" t="s">
        <v>207</v>
      </c>
      <c r="G95" s="15" t="s">
        <v>18</v>
      </c>
      <c r="H95" s="15" t="s">
        <v>21</v>
      </c>
      <c r="I95" s="16">
        <v>45828</v>
      </c>
      <c r="J95" s="16">
        <v>45835</v>
      </c>
      <c r="K95" s="17">
        <v>350</v>
      </c>
      <c r="L95" s="25"/>
      <c r="M95" s="15"/>
    </row>
    <row r="96" spans="1:13" x14ac:dyDescent="0.25">
      <c r="A96" s="12">
        <v>13</v>
      </c>
      <c r="B96" s="15" t="s">
        <v>183</v>
      </c>
      <c r="C96" s="15" t="s">
        <v>277</v>
      </c>
      <c r="D96" s="15">
        <v>288997</v>
      </c>
      <c r="E96" s="15" t="s">
        <v>24</v>
      </c>
      <c r="F96" s="15" t="s">
        <v>278</v>
      </c>
      <c r="G96" s="15" t="s">
        <v>18</v>
      </c>
      <c r="H96" s="15" t="s">
        <v>19</v>
      </c>
      <c r="I96" s="16">
        <v>45834</v>
      </c>
      <c r="J96" s="16">
        <v>45835</v>
      </c>
      <c r="K96" s="17">
        <v>90000</v>
      </c>
      <c r="L96" s="25" t="s">
        <v>67</v>
      </c>
      <c r="M96" s="15"/>
    </row>
    <row r="97" spans="1:13" x14ac:dyDescent="0.25">
      <c r="A97" s="12">
        <v>14</v>
      </c>
      <c r="B97" s="15" t="s">
        <v>22</v>
      </c>
      <c r="C97" s="15" t="s">
        <v>279</v>
      </c>
      <c r="D97" s="15">
        <v>289112</v>
      </c>
      <c r="E97" s="15" t="s">
        <v>51</v>
      </c>
      <c r="F97" s="15" t="s">
        <v>280</v>
      </c>
      <c r="G97" s="15" t="s">
        <v>18</v>
      </c>
      <c r="H97" s="15" t="s">
        <v>19</v>
      </c>
      <c r="I97" s="16">
        <v>45835</v>
      </c>
      <c r="J97" s="16">
        <v>45835</v>
      </c>
      <c r="K97" s="17">
        <v>23000</v>
      </c>
      <c r="L97" s="25" t="s">
        <v>281</v>
      </c>
      <c r="M97" s="15"/>
    </row>
    <row r="98" spans="1:13" ht="15.75" thickBot="1" x14ac:dyDescent="0.3">
      <c r="A98" s="12">
        <v>15</v>
      </c>
      <c r="B98" s="15" t="s">
        <v>16</v>
      </c>
      <c r="C98" s="15" t="s">
        <v>282</v>
      </c>
      <c r="D98" s="15">
        <v>289567</v>
      </c>
      <c r="E98" s="15" t="s">
        <v>17</v>
      </c>
      <c r="F98" s="15" t="s">
        <v>100</v>
      </c>
      <c r="G98" s="15" t="s">
        <v>18</v>
      </c>
      <c r="H98" s="15" t="s">
        <v>19</v>
      </c>
      <c r="I98" s="16">
        <v>45836</v>
      </c>
      <c r="J98" s="16">
        <v>45838</v>
      </c>
      <c r="K98" s="17">
        <v>14000</v>
      </c>
      <c r="L98" s="25"/>
      <c r="M98" s="15"/>
    </row>
    <row r="99" spans="1:13" ht="15.75" thickBot="1" x14ac:dyDescent="0.3">
      <c r="A99" s="132" t="s">
        <v>49</v>
      </c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4"/>
    </row>
    <row r="100" spans="1:13" x14ac:dyDescent="0.25">
      <c r="A100" s="12">
        <v>1</v>
      </c>
      <c r="B100" s="15" t="s">
        <v>26</v>
      </c>
      <c r="C100" s="15" t="s">
        <v>284</v>
      </c>
      <c r="D100" s="12">
        <v>290330</v>
      </c>
      <c r="E100" s="12" t="s">
        <v>32</v>
      </c>
      <c r="F100" s="12" t="s">
        <v>285</v>
      </c>
      <c r="G100" s="12" t="s">
        <v>18</v>
      </c>
      <c r="H100" s="12" t="s">
        <v>21</v>
      </c>
      <c r="I100" s="13">
        <v>45841</v>
      </c>
      <c r="J100" s="13">
        <v>45841</v>
      </c>
      <c r="K100" s="14">
        <v>500</v>
      </c>
      <c r="L100" s="42"/>
      <c r="M100" s="14"/>
    </row>
    <row r="101" spans="1:13" x14ac:dyDescent="0.25">
      <c r="A101" s="12">
        <v>2</v>
      </c>
      <c r="B101" s="12" t="s">
        <v>22</v>
      </c>
      <c r="C101" s="12" t="s">
        <v>286</v>
      </c>
      <c r="D101" s="12">
        <v>290708</v>
      </c>
      <c r="E101" s="12" t="s">
        <v>43</v>
      </c>
      <c r="F101" s="12" t="s">
        <v>44</v>
      </c>
      <c r="G101" s="12" t="s">
        <v>20</v>
      </c>
      <c r="H101" s="12" t="s">
        <v>19</v>
      </c>
      <c r="I101" s="13">
        <v>44995</v>
      </c>
      <c r="J101" s="13">
        <v>45842</v>
      </c>
      <c r="K101" s="14">
        <v>350000</v>
      </c>
      <c r="L101" s="42"/>
      <c r="M101" s="12"/>
    </row>
    <row r="102" spans="1:13" x14ac:dyDescent="0.25">
      <c r="A102" s="12">
        <v>3</v>
      </c>
      <c r="B102" s="12" t="s">
        <v>183</v>
      </c>
      <c r="C102" s="12" t="s">
        <v>287</v>
      </c>
      <c r="D102" s="12">
        <v>291001</v>
      </c>
      <c r="E102" s="12" t="s">
        <v>32</v>
      </c>
      <c r="F102" s="12" t="s">
        <v>290</v>
      </c>
      <c r="G102" s="12" t="s">
        <v>18</v>
      </c>
      <c r="H102" s="12" t="s">
        <v>19</v>
      </c>
      <c r="I102" s="13">
        <v>45847</v>
      </c>
      <c r="J102" s="13">
        <v>45848</v>
      </c>
      <c r="K102" s="14">
        <v>55000</v>
      </c>
      <c r="L102" s="26"/>
      <c r="M102" s="12"/>
    </row>
    <row r="103" spans="1:13" x14ac:dyDescent="0.25">
      <c r="A103" s="12">
        <v>4</v>
      </c>
      <c r="B103" s="12" t="s">
        <v>183</v>
      </c>
      <c r="C103" s="12" t="s">
        <v>288</v>
      </c>
      <c r="D103" s="12">
        <v>291011</v>
      </c>
      <c r="E103" s="12" t="s">
        <v>32</v>
      </c>
      <c r="F103" s="12" t="s">
        <v>289</v>
      </c>
      <c r="G103" s="12" t="s">
        <v>18</v>
      </c>
      <c r="H103" s="12" t="s">
        <v>19</v>
      </c>
      <c r="I103" s="13">
        <v>45847</v>
      </c>
      <c r="J103" s="13">
        <v>45848</v>
      </c>
      <c r="K103" s="14">
        <v>28000</v>
      </c>
      <c r="L103" s="26"/>
      <c r="M103" s="12"/>
    </row>
    <row r="104" spans="1:13" x14ac:dyDescent="0.25">
      <c r="A104" s="12">
        <v>5</v>
      </c>
      <c r="B104" s="12" t="s">
        <v>16</v>
      </c>
      <c r="C104" s="12" t="s">
        <v>291</v>
      </c>
      <c r="D104" s="12">
        <v>291321</v>
      </c>
      <c r="E104" s="12" t="s">
        <v>23</v>
      </c>
      <c r="F104" s="12" t="s">
        <v>292</v>
      </c>
      <c r="G104" s="12" t="s">
        <v>18</v>
      </c>
      <c r="H104" s="12" t="s">
        <v>19</v>
      </c>
      <c r="I104" s="13">
        <v>45851</v>
      </c>
      <c r="J104" s="13">
        <v>45852</v>
      </c>
      <c r="K104" s="14">
        <v>30000</v>
      </c>
      <c r="L104" s="26" t="s">
        <v>293</v>
      </c>
      <c r="M104" s="12"/>
    </row>
    <row r="105" spans="1:13" x14ac:dyDescent="0.25">
      <c r="A105" s="12">
        <v>6</v>
      </c>
      <c r="B105" s="12" t="s">
        <v>183</v>
      </c>
      <c r="C105" s="12" t="s">
        <v>296</v>
      </c>
      <c r="D105" s="12">
        <v>291550</v>
      </c>
      <c r="E105" s="71" t="s">
        <v>295</v>
      </c>
      <c r="F105" s="71" t="s">
        <v>294</v>
      </c>
      <c r="G105" s="12" t="s">
        <v>18</v>
      </c>
      <c r="H105" s="12" t="s">
        <v>19</v>
      </c>
      <c r="I105" s="13">
        <v>45853</v>
      </c>
      <c r="J105" s="13">
        <v>45854</v>
      </c>
      <c r="K105" s="14">
        <v>250000</v>
      </c>
      <c r="L105" s="26"/>
      <c r="M105" s="12"/>
    </row>
    <row r="106" spans="1:13" x14ac:dyDescent="0.25">
      <c r="A106" s="12">
        <v>7</v>
      </c>
      <c r="B106" s="12" t="s">
        <v>183</v>
      </c>
      <c r="C106" s="12" t="s">
        <v>297</v>
      </c>
      <c r="D106" s="12">
        <v>291680</v>
      </c>
      <c r="E106" s="22" t="s">
        <v>27</v>
      </c>
      <c r="F106" s="12" t="s">
        <v>298</v>
      </c>
      <c r="G106" s="12" t="s">
        <v>18</v>
      </c>
      <c r="H106" s="12" t="s">
        <v>19</v>
      </c>
      <c r="I106" s="13">
        <v>45853</v>
      </c>
      <c r="J106" s="13">
        <v>45854</v>
      </c>
      <c r="K106" s="14">
        <v>40000</v>
      </c>
      <c r="L106" s="26"/>
      <c r="M106" s="12"/>
    </row>
    <row r="107" spans="1:13" x14ac:dyDescent="0.25">
      <c r="A107" s="12">
        <v>8</v>
      </c>
      <c r="B107" s="15" t="s">
        <v>183</v>
      </c>
      <c r="C107" s="15" t="s">
        <v>299</v>
      </c>
      <c r="D107" s="15">
        <v>291692</v>
      </c>
      <c r="E107" s="44" t="s">
        <v>27</v>
      </c>
      <c r="F107" s="15" t="s">
        <v>300</v>
      </c>
      <c r="G107" s="15" t="s">
        <v>18</v>
      </c>
      <c r="H107" s="15" t="s">
        <v>19</v>
      </c>
      <c r="I107" s="16">
        <v>45853</v>
      </c>
      <c r="J107" s="16">
        <v>45854</v>
      </c>
      <c r="K107" s="17">
        <v>70000</v>
      </c>
      <c r="L107" s="25"/>
      <c r="M107" s="15"/>
    </row>
    <row r="108" spans="1:13" x14ac:dyDescent="0.25">
      <c r="A108" s="12">
        <v>9</v>
      </c>
      <c r="B108" s="15" t="s">
        <v>183</v>
      </c>
      <c r="C108" s="15" t="s">
        <v>301</v>
      </c>
      <c r="D108" s="15">
        <v>291791</v>
      </c>
      <c r="E108" s="15" t="s">
        <v>23</v>
      </c>
      <c r="F108" s="15" t="s">
        <v>302</v>
      </c>
      <c r="G108" s="15" t="s">
        <v>20</v>
      </c>
      <c r="H108" s="15" t="s">
        <v>19</v>
      </c>
      <c r="I108" s="16">
        <v>45839</v>
      </c>
      <c r="J108" s="16">
        <v>45855</v>
      </c>
      <c r="K108" s="17">
        <v>75000</v>
      </c>
      <c r="L108" s="25"/>
      <c r="M108" s="15"/>
    </row>
    <row r="109" spans="1:13" x14ac:dyDescent="0.25">
      <c r="A109" s="12">
        <v>10</v>
      </c>
      <c r="B109" s="15" t="s">
        <v>183</v>
      </c>
      <c r="C109" s="15" t="s">
        <v>303</v>
      </c>
      <c r="D109" s="15">
        <v>291940</v>
      </c>
      <c r="E109" s="15" t="s">
        <v>37</v>
      </c>
      <c r="F109" s="15" t="s">
        <v>304</v>
      </c>
      <c r="G109" s="15" t="s">
        <v>18</v>
      </c>
      <c r="H109" s="15" t="s">
        <v>19</v>
      </c>
      <c r="I109" s="16">
        <v>45855</v>
      </c>
      <c r="J109" s="16">
        <v>45855</v>
      </c>
      <c r="K109" s="17">
        <v>750000</v>
      </c>
      <c r="L109" s="25" t="s">
        <v>305</v>
      </c>
      <c r="M109" s="15"/>
    </row>
    <row r="110" spans="1:13" x14ac:dyDescent="0.25">
      <c r="A110" s="12">
        <v>11</v>
      </c>
      <c r="B110" s="12" t="s">
        <v>22</v>
      </c>
      <c r="C110" s="12" t="s">
        <v>306</v>
      </c>
      <c r="D110" s="12">
        <v>291988</v>
      </c>
      <c r="E110" s="12" t="s">
        <v>24</v>
      </c>
      <c r="F110" s="12" t="s">
        <v>307</v>
      </c>
      <c r="G110" s="12" t="s">
        <v>18</v>
      </c>
      <c r="H110" s="12" t="s">
        <v>19</v>
      </c>
      <c r="I110" s="13">
        <v>45854</v>
      </c>
      <c r="J110" s="13">
        <v>45856</v>
      </c>
      <c r="K110" s="14">
        <v>30000</v>
      </c>
      <c r="L110" s="26"/>
      <c r="M110" s="12"/>
    </row>
    <row r="111" spans="1:13" x14ac:dyDescent="0.25">
      <c r="A111" s="85">
        <v>12</v>
      </c>
      <c r="B111" s="86" t="s">
        <v>16</v>
      </c>
      <c r="C111" s="86" t="s">
        <v>308</v>
      </c>
      <c r="D111" s="86">
        <v>292137</v>
      </c>
      <c r="E111" s="86" t="s">
        <v>17</v>
      </c>
      <c r="F111" s="86" t="s">
        <v>309</v>
      </c>
      <c r="G111" s="86" t="s">
        <v>20</v>
      </c>
      <c r="H111" s="86" t="s">
        <v>19</v>
      </c>
      <c r="I111" s="87">
        <v>45856</v>
      </c>
      <c r="J111" s="87">
        <v>45859</v>
      </c>
      <c r="K111" s="88">
        <v>20500</v>
      </c>
      <c r="L111" s="89" t="s">
        <v>310</v>
      </c>
      <c r="M111" s="15"/>
    </row>
    <row r="112" spans="1:13" x14ac:dyDescent="0.25">
      <c r="A112" s="12">
        <v>13</v>
      </c>
      <c r="B112" s="15" t="s">
        <v>16</v>
      </c>
      <c r="C112" s="15" t="s">
        <v>311</v>
      </c>
      <c r="D112" s="15">
        <v>292140</v>
      </c>
      <c r="E112" s="15" t="s">
        <v>17</v>
      </c>
      <c r="F112" s="15" t="s">
        <v>312</v>
      </c>
      <c r="G112" s="15" t="s">
        <v>18</v>
      </c>
      <c r="H112" s="15" t="s">
        <v>19</v>
      </c>
      <c r="I112" s="16">
        <v>45857</v>
      </c>
      <c r="J112" s="16">
        <v>45859</v>
      </c>
      <c r="K112" s="17">
        <v>22000</v>
      </c>
      <c r="L112" s="25"/>
      <c r="M112" s="15"/>
    </row>
    <row r="113" spans="1:13" x14ac:dyDescent="0.25">
      <c r="A113" s="12">
        <v>14</v>
      </c>
      <c r="B113" s="15" t="s">
        <v>183</v>
      </c>
      <c r="C113" s="15" t="s">
        <v>313</v>
      </c>
      <c r="D113" s="15">
        <v>292214</v>
      </c>
      <c r="E113" s="15" t="s">
        <v>314</v>
      </c>
      <c r="F113" s="15" t="s">
        <v>315</v>
      </c>
      <c r="G113" s="15" t="s">
        <v>18</v>
      </c>
      <c r="H113" s="15" t="s">
        <v>19</v>
      </c>
      <c r="I113" s="16">
        <v>45855</v>
      </c>
      <c r="J113" s="16">
        <v>45859</v>
      </c>
      <c r="K113" s="17">
        <v>30000</v>
      </c>
      <c r="L113" s="25"/>
      <c r="M113" s="15"/>
    </row>
    <row r="114" spans="1:13" x14ac:dyDescent="0.25">
      <c r="A114" s="12">
        <v>15</v>
      </c>
      <c r="B114" s="15" t="s">
        <v>183</v>
      </c>
      <c r="C114" s="15" t="s">
        <v>316</v>
      </c>
      <c r="D114" s="15">
        <v>292221</v>
      </c>
      <c r="E114" s="15" t="s">
        <v>27</v>
      </c>
      <c r="F114" s="15" t="s">
        <v>317</v>
      </c>
      <c r="G114" s="15" t="s">
        <v>18</v>
      </c>
      <c r="H114" s="15" t="s">
        <v>19</v>
      </c>
      <c r="I114" s="16">
        <v>45855</v>
      </c>
      <c r="J114" s="16">
        <v>45859</v>
      </c>
      <c r="K114" s="17">
        <v>90000</v>
      </c>
      <c r="L114" s="25"/>
      <c r="M114" s="15"/>
    </row>
    <row r="115" spans="1:13" x14ac:dyDescent="0.25">
      <c r="A115" s="12">
        <v>16</v>
      </c>
      <c r="B115" s="15" t="s">
        <v>22</v>
      </c>
      <c r="C115" s="15" t="s">
        <v>318</v>
      </c>
      <c r="D115" s="15">
        <v>292258</v>
      </c>
      <c r="E115" s="15" t="s">
        <v>17</v>
      </c>
      <c r="F115" s="15" t="s">
        <v>28</v>
      </c>
      <c r="G115" s="15" t="s">
        <v>18</v>
      </c>
      <c r="H115" s="15" t="s">
        <v>19</v>
      </c>
      <c r="I115" s="16">
        <v>45856</v>
      </c>
      <c r="J115" s="16">
        <v>45859</v>
      </c>
      <c r="K115" s="17">
        <v>18500</v>
      </c>
      <c r="L115" s="25"/>
      <c r="M115" s="15"/>
    </row>
    <row r="116" spans="1:13" x14ac:dyDescent="0.25">
      <c r="A116" s="15">
        <v>17</v>
      </c>
      <c r="B116" s="15" t="s">
        <v>183</v>
      </c>
      <c r="C116" s="15" t="s">
        <v>319</v>
      </c>
      <c r="D116" s="15">
        <v>292433</v>
      </c>
      <c r="E116" s="15" t="s">
        <v>27</v>
      </c>
      <c r="F116" s="15" t="s">
        <v>320</v>
      </c>
      <c r="G116" s="15" t="s">
        <v>18</v>
      </c>
      <c r="H116" s="15" t="s">
        <v>19</v>
      </c>
      <c r="I116" s="16">
        <v>45853</v>
      </c>
      <c r="J116" s="16">
        <v>45867</v>
      </c>
      <c r="K116" s="17">
        <v>30000</v>
      </c>
      <c r="L116" s="25"/>
      <c r="M116" s="15"/>
    </row>
    <row r="117" spans="1:13" x14ac:dyDescent="0.25">
      <c r="A117" s="15">
        <v>18</v>
      </c>
      <c r="B117" s="15" t="s">
        <v>183</v>
      </c>
      <c r="C117" s="15" t="s">
        <v>321</v>
      </c>
      <c r="D117" s="15">
        <v>292706</v>
      </c>
      <c r="E117" s="15" t="s">
        <v>32</v>
      </c>
      <c r="F117" s="15" t="s">
        <v>322</v>
      </c>
      <c r="G117" s="15" t="s">
        <v>18</v>
      </c>
      <c r="H117" s="15" t="s">
        <v>21</v>
      </c>
      <c r="I117" s="16">
        <v>45856</v>
      </c>
      <c r="J117" s="16">
        <v>45867</v>
      </c>
      <c r="K117" s="17">
        <v>400</v>
      </c>
      <c r="L117" s="25"/>
      <c r="M117" s="15"/>
    </row>
    <row r="118" spans="1:13" ht="15.75" thickBot="1" x14ac:dyDescent="0.3">
      <c r="A118" s="15">
        <v>19</v>
      </c>
      <c r="B118" s="15" t="s">
        <v>183</v>
      </c>
      <c r="C118" s="15" t="s">
        <v>323</v>
      </c>
      <c r="D118" s="15">
        <v>293057</v>
      </c>
      <c r="E118" s="15" t="s">
        <v>17</v>
      </c>
      <c r="F118" s="15" t="s">
        <v>324</v>
      </c>
      <c r="G118" s="15" t="s">
        <v>18</v>
      </c>
      <c r="H118" s="15" t="s">
        <v>19</v>
      </c>
      <c r="I118" s="16">
        <v>45864</v>
      </c>
      <c r="J118" s="16">
        <v>45867</v>
      </c>
      <c r="K118" s="17">
        <v>35000</v>
      </c>
      <c r="L118" s="25"/>
      <c r="M118" s="15"/>
    </row>
    <row r="119" spans="1:13" ht="15.75" thickBot="1" x14ac:dyDescent="0.3">
      <c r="A119" s="132" t="s">
        <v>52</v>
      </c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4"/>
    </row>
    <row r="120" spans="1:13" x14ac:dyDescent="0.25">
      <c r="A120" s="12">
        <v>1</v>
      </c>
      <c r="B120" s="12" t="s">
        <v>183</v>
      </c>
      <c r="C120" s="15" t="s">
        <v>325</v>
      </c>
      <c r="D120" s="15">
        <v>294160</v>
      </c>
      <c r="E120" s="12" t="s">
        <v>17</v>
      </c>
      <c r="F120" s="12" t="s">
        <v>326</v>
      </c>
      <c r="G120" s="12" t="s">
        <v>18</v>
      </c>
      <c r="H120" s="12" t="s">
        <v>19</v>
      </c>
      <c r="I120" s="13">
        <v>45869</v>
      </c>
      <c r="J120" s="13">
        <v>45871</v>
      </c>
      <c r="K120" s="14">
        <v>14000</v>
      </c>
      <c r="L120" s="42" t="s">
        <v>327</v>
      </c>
      <c r="M120" s="14"/>
    </row>
    <row r="121" spans="1:13" x14ac:dyDescent="0.25">
      <c r="A121" s="12">
        <v>2</v>
      </c>
      <c r="B121" s="12" t="s">
        <v>26</v>
      </c>
      <c r="C121" s="12" t="s">
        <v>328</v>
      </c>
      <c r="D121" s="12">
        <v>294230</v>
      </c>
      <c r="E121" s="12" t="s">
        <v>17</v>
      </c>
      <c r="F121" s="12" t="s">
        <v>329</v>
      </c>
      <c r="G121" s="12" t="s">
        <v>18</v>
      </c>
      <c r="H121" s="12" t="s">
        <v>21</v>
      </c>
      <c r="I121" s="13">
        <v>45869</v>
      </c>
      <c r="J121" s="13">
        <v>45873</v>
      </c>
      <c r="K121" s="14">
        <v>220</v>
      </c>
      <c r="L121" s="42"/>
      <c r="M121" s="12"/>
    </row>
    <row r="122" spans="1:13" x14ac:dyDescent="0.25">
      <c r="A122" s="12">
        <v>3</v>
      </c>
      <c r="B122" s="12" t="s">
        <v>183</v>
      </c>
      <c r="C122" s="12" t="s">
        <v>331</v>
      </c>
      <c r="D122" s="12">
        <v>294959</v>
      </c>
      <c r="E122" s="12" t="s">
        <v>314</v>
      </c>
      <c r="F122" s="12" t="s">
        <v>332</v>
      </c>
      <c r="G122" s="12" t="s">
        <v>18</v>
      </c>
      <c r="H122" s="12" t="s">
        <v>19</v>
      </c>
      <c r="I122" s="13">
        <v>45880</v>
      </c>
      <c r="J122" s="13">
        <v>45880</v>
      </c>
      <c r="K122" s="14">
        <v>75000</v>
      </c>
      <c r="L122" s="26"/>
      <c r="M122" s="12"/>
    </row>
    <row r="123" spans="1:13" x14ac:dyDescent="0.25">
      <c r="A123" s="12">
        <v>4</v>
      </c>
      <c r="B123" s="12" t="s">
        <v>183</v>
      </c>
      <c r="C123" s="12" t="s">
        <v>333</v>
      </c>
      <c r="D123" s="12">
        <v>294970</v>
      </c>
      <c r="E123" s="12" t="s">
        <v>314</v>
      </c>
      <c r="F123" s="12" t="s">
        <v>334</v>
      </c>
      <c r="G123" s="12" t="s">
        <v>18</v>
      </c>
      <c r="H123" s="12" t="s">
        <v>19</v>
      </c>
      <c r="I123" s="13">
        <v>45880</v>
      </c>
      <c r="J123" s="13">
        <v>45880</v>
      </c>
      <c r="K123" s="14">
        <v>20000</v>
      </c>
      <c r="L123" s="26"/>
      <c r="M123" s="12"/>
    </row>
    <row r="124" spans="1:13" x14ac:dyDescent="0.25">
      <c r="A124" s="12">
        <v>5</v>
      </c>
      <c r="B124" s="12" t="s">
        <v>16</v>
      </c>
      <c r="C124" s="12" t="s">
        <v>335</v>
      </c>
      <c r="D124" s="12">
        <v>295555</v>
      </c>
      <c r="E124" s="12" t="s">
        <v>23</v>
      </c>
      <c r="F124" s="12" t="s">
        <v>336</v>
      </c>
      <c r="G124" s="12" t="s">
        <v>18</v>
      </c>
      <c r="H124" s="12" t="s">
        <v>19</v>
      </c>
      <c r="I124" s="13">
        <v>45883</v>
      </c>
      <c r="J124" s="13">
        <v>45887</v>
      </c>
      <c r="K124" s="14">
        <v>26000</v>
      </c>
      <c r="L124" s="26"/>
      <c r="M124" s="12"/>
    </row>
    <row r="125" spans="1:13" x14ac:dyDescent="0.25">
      <c r="A125" s="12">
        <v>6</v>
      </c>
      <c r="B125" s="12" t="s">
        <v>16</v>
      </c>
      <c r="C125" s="12" t="s">
        <v>337</v>
      </c>
      <c r="D125" s="12">
        <v>295557</v>
      </c>
      <c r="E125" s="12" t="s">
        <v>17</v>
      </c>
      <c r="F125" s="12" t="s">
        <v>338</v>
      </c>
      <c r="G125" s="12" t="s">
        <v>18</v>
      </c>
      <c r="H125" s="12" t="s">
        <v>19</v>
      </c>
      <c r="I125" s="13">
        <v>45878</v>
      </c>
      <c r="J125" s="13">
        <v>45887</v>
      </c>
      <c r="K125" s="14">
        <v>17000</v>
      </c>
      <c r="L125" s="26"/>
      <c r="M125" s="12"/>
    </row>
    <row r="126" spans="1:13" x14ac:dyDescent="0.25">
      <c r="A126" s="12">
        <v>7</v>
      </c>
      <c r="B126" s="12" t="s">
        <v>183</v>
      </c>
      <c r="C126" s="12" t="s">
        <v>339</v>
      </c>
      <c r="D126" s="12">
        <v>297499</v>
      </c>
      <c r="E126" s="12" t="s">
        <v>24</v>
      </c>
      <c r="F126" s="12" t="s">
        <v>340</v>
      </c>
      <c r="G126" s="12" t="s">
        <v>20</v>
      </c>
      <c r="H126" s="12" t="s">
        <v>19</v>
      </c>
      <c r="I126" s="13">
        <v>45896</v>
      </c>
      <c r="J126" s="13">
        <v>45897</v>
      </c>
      <c r="K126" s="14">
        <v>28000</v>
      </c>
      <c r="L126" s="26"/>
      <c r="M126" s="12"/>
    </row>
    <row r="127" spans="1:13" x14ac:dyDescent="0.25">
      <c r="A127" s="12">
        <v>8</v>
      </c>
      <c r="B127" s="15" t="s">
        <v>183</v>
      </c>
      <c r="C127" s="15" t="s">
        <v>341</v>
      </c>
      <c r="D127" s="15">
        <v>297486</v>
      </c>
      <c r="E127" s="15" t="s">
        <v>342</v>
      </c>
      <c r="F127" s="15" t="s">
        <v>343</v>
      </c>
      <c r="G127" s="15" t="s">
        <v>18</v>
      </c>
      <c r="H127" s="15" t="s">
        <v>19</v>
      </c>
      <c r="I127" s="16">
        <v>45897</v>
      </c>
      <c r="J127" s="16">
        <v>45897</v>
      </c>
      <c r="K127" s="17">
        <v>150000</v>
      </c>
      <c r="L127" s="25"/>
      <c r="M127" s="15"/>
    </row>
    <row r="128" spans="1:13" x14ac:dyDescent="0.25">
      <c r="A128" s="12">
        <v>9</v>
      </c>
      <c r="B128" s="15" t="s">
        <v>16</v>
      </c>
      <c r="C128" s="15" t="s">
        <v>344</v>
      </c>
      <c r="D128" s="15">
        <v>297319</v>
      </c>
      <c r="E128" s="15" t="s">
        <v>24</v>
      </c>
      <c r="F128" s="15" t="s">
        <v>345</v>
      </c>
      <c r="G128" s="15" t="s">
        <v>20</v>
      </c>
      <c r="H128" s="15" t="s">
        <v>19</v>
      </c>
      <c r="I128" s="16">
        <v>45895</v>
      </c>
      <c r="J128" s="16">
        <v>45897</v>
      </c>
      <c r="K128" s="17">
        <v>59000</v>
      </c>
      <c r="L128" s="25" t="s">
        <v>83</v>
      </c>
      <c r="M128" s="15"/>
    </row>
    <row r="129" spans="1:13" x14ac:dyDescent="0.25">
      <c r="A129" s="12">
        <v>10</v>
      </c>
      <c r="B129" s="15" t="s">
        <v>26</v>
      </c>
      <c r="C129" s="15" t="s">
        <v>346</v>
      </c>
      <c r="D129" s="15">
        <v>297252</v>
      </c>
      <c r="E129" s="15" t="s">
        <v>17</v>
      </c>
      <c r="F129" s="15" t="s">
        <v>347</v>
      </c>
      <c r="G129" s="15" t="s">
        <v>20</v>
      </c>
      <c r="H129" s="15" t="s">
        <v>19</v>
      </c>
      <c r="I129" s="16">
        <v>45482</v>
      </c>
      <c r="J129" s="16">
        <v>45897</v>
      </c>
      <c r="K129" s="17">
        <v>112000</v>
      </c>
      <c r="L129" s="25"/>
      <c r="M129" s="15"/>
    </row>
    <row r="130" spans="1:13" x14ac:dyDescent="0.25">
      <c r="A130" s="12">
        <v>11</v>
      </c>
      <c r="B130" s="12" t="s">
        <v>22</v>
      </c>
      <c r="C130" s="12" t="s">
        <v>348</v>
      </c>
      <c r="D130" s="12">
        <v>297746</v>
      </c>
      <c r="E130" s="12" t="s">
        <v>24</v>
      </c>
      <c r="F130" s="12" t="s">
        <v>307</v>
      </c>
      <c r="G130" s="12" t="s">
        <v>18</v>
      </c>
      <c r="H130" s="12" t="s">
        <v>19</v>
      </c>
      <c r="I130" s="13">
        <v>45897</v>
      </c>
      <c r="J130" s="13">
        <v>45898</v>
      </c>
      <c r="K130" s="14">
        <v>28000</v>
      </c>
      <c r="L130" s="26" t="s">
        <v>349</v>
      </c>
      <c r="M130" s="12"/>
    </row>
    <row r="131" spans="1:13" x14ac:dyDescent="0.25">
      <c r="A131" s="12">
        <v>12</v>
      </c>
      <c r="B131" s="15" t="s">
        <v>22</v>
      </c>
      <c r="C131" s="15" t="s">
        <v>350</v>
      </c>
      <c r="D131" s="15">
        <v>297764</v>
      </c>
      <c r="E131" s="15" t="s">
        <v>24</v>
      </c>
      <c r="F131" s="15" t="s">
        <v>54</v>
      </c>
      <c r="G131" s="15" t="s">
        <v>18</v>
      </c>
      <c r="H131" s="15" t="s">
        <v>19</v>
      </c>
      <c r="I131" s="16">
        <v>45521</v>
      </c>
      <c r="J131" s="16">
        <v>45898</v>
      </c>
      <c r="K131" s="17">
        <v>35000</v>
      </c>
      <c r="L131" s="25"/>
      <c r="M131" s="15"/>
    </row>
    <row r="132" spans="1:13" ht="15.75" thickBot="1" x14ac:dyDescent="0.3">
      <c r="A132" s="12">
        <v>13</v>
      </c>
      <c r="B132" s="15" t="s">
        <v>26</v>
      </c>
      <c r="C132" s="15" t="s">
        <v>351</v>
      </c>
      <c r="D132" s="15">
        <v>297873</v>
      </c>
      <c r="E132" s="15" t="s">
        <v>32</v>
      </c>
      <c r="F132" s="15" t="s">
        <v>352</v>
      </c>
      <c r="G132" s="15" t="s">
        <v>18</v>
      </c>
      <c r="H132" s="15" t="s">
        <v>21</v>
      </c>
      <c r="I132" s="16">
        <v>45898</v>
      </c>
      <c r="J132" s="16">
        <v>45898</v>
      </c>
      <c r="K132" s="17">
        <v>500</v>
      </c>
      <c r="L132" s="25"/>
      <c r="M132" s="15"/>
    </row>
    <row r="133" spans="1:13" ht="15.75" thickBot="1" x14ac:dyDescent="0.3">
      <c r="A133" s="132" t="s">
        <v>55</v>
      </c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4"/>
    </row>
    <row r="134" spans="1:13" x14ac:dyDescent="0.25">
      <c r="A134" s="12">
        <v>1</v>
      </c>
      <c r="B134" s="12" t="s">
        <v>183</v>
      </c>
      <c r="C134" s="15" t="s">
        <v>353</v>
      </c>
      <c r="D134" s="12">
        <v>298276</v>
      </c>
      <c r="E134" s="12" t="s">
        <v>32</v>
      </c>
      <c r="F134" s="12" t="s">
        <v>60</v>
      </c>
      <c r="G134" s="12" t="s">
        <v>20</v>
      </c>
      <c r="H134" s="12" t="s">
        <v>21</v>
      </c>
      <c r="I134" s="13">
        <v>45902</v>
      </c>
      <c r="J134" s="13">
        <v>45902</v>
      </c>
      <c r="K134" s="14">
        <v>500</v>
      </c>
      <c r="L134" s="42"/>
      <c r="M134" s="14"/>
    </row>
    <row r="135" spans="1:13" x14ac:dyDescent="0.25">
      <c r="A135" s="12">
        <v>2</v>
      </c>
      <c r="B135" s="12" t="s">
        <v>22</v>
      </c>
      <c r="C135" s="12" t="s">
        <v>354</v>
      </c>
      <c r="D135" s="12">
        <v>298637</v>
      </c>
      <c r="E135" s="12" t="s">
        <v>17</v>
      </c>
      <c r="F135" s="12" t="s">
        <v>29</v>
      </c>
      <c r="G135" s="12" t="s">
        <v>20</v>
      </c>
      <c r="H135" s="12" t="s">
        <v>19</v>
      </c>
      <c r="I135" s="13">
        <v>45905</v>
      </c>
      <c r="J135" s="13">
        <v>45905</v>
      </c>
      <c r="K135" s="14">
        <v>17000</v>
      </c>
      <c r="L135" s="42"/>
      <c r="M135" s="12"/>
    </row>
    <row r="136" spans="1:13" x14ac:dyDescent="0.25">
      <c r="A136" s="12">
        <v>3</v>
      </c>
      <c r="B136" s="12" t="s">
        <v>22</v>
      </c>
      <c r="C136" s="12" t="s">
        <v>355</v>
      </c>
      <c r="D136" s="12">
        <v>298660</v>
      </c>
      <c r="E136" s="12" t="s">
        <v>32</v>
      </c>
      <c r="F136" s="12" t="s">
        <v>56</v>
      </c>
      <c r="G136" s="12" t="s">
        <v>18</v>
      </c>
      <c r="H136" s="12" t="s">
        <v>21</v>
      </c>
      <c r="I136" s="13">
        <v>45905</v>
      </c>
      <c r="J136" s="13">
        <v>45905</v>
      </c>
      <c r="K136" s="14">
        <v>300</v>
      </c>
      <c r="L136" s="26"/>
      <c r="M136" s="12"/>
    </row>
    <row r="137" spans="1:13" x14ac:dyDescent="0.25">
      <c r="A137" s="12">
        <v>4</v>
      </c>
      <c r="B137" s="12" t="s">
        <v>50</v>
      </c>
      <c r="C137" s="12" t="s">
        <v>356</v>
      </c>
      <c r="D137" s="12">
        <v>298928</v>
      </c>
      <c r="E137" s="12" t="s">
        <v>17</v>
      </c>
      <c r="F137" s="12" t="s">
        <v>242</v>
      </c>
      <c r="G137" s="12" t="s">
        <v>18</v>
      </c>
      <c r="H137" s="12" t="s">
        <v>19</v>
      </c>
      <c r="I137" s="13">
        <v>45909</v>
      </c>
      <c r="J137" s="13">
        <v>45909</v>
      </c>
      <c r="K137" s="14">
        <v>40000</v>
      </c>
      <c r="L137" s="26"/>
      <c r="M137" s="12"/>
    </row>
    <row r="138" spans="1:13" x14ac:dyDescent="0.25">
      <c r="A138" s="12">
        <v>5</v>
      </c>
      <c r="B138" s="12" t="s">
        <v>50</v>
      </c>
      <c r="C138" s="12" t="s">
        <v>357</v>
      </c>
      <c r="D138" s="12">
        <v>298940</v>
      </c>
      <c r="E138" s="12" t="s">
        <v>24</v>
      </c>
      <c r="F138" s="12" t="s">
        <v>214</v>
      </c>
      <c r="G138" s="12" t="s">
        <v>18</v>
      </c>
      <c r="H138" s="12" t="s">
        <v>19</v>
      </c>
      <c r="I138" s="13">
        <v>45909</v>
      </c>
      <c r="J138" s="13">
        <v>45909</v>
      </c>
      <c r="K138" s="14">
        <v>21000</v>
      </c>
      <c r="L138" s="26"/>
      <c r="M138" s="12"/>
    </row>
    <row r="139" spans="1:13" x14ac:dyDescent="0.25">
      <c r="A139" s="12">
        <v>6</v>
      </c>
      <c r="B139" s="12" t="s">
        <v>183</v>
      </c>
      <c r="C139" s="12" t="s">
        <v>358</v>
      </c>
      <c r="D139" s="12">
        <v>299688</v>
      </c>
      <c r="E139" s="12" t="s">
        <v>17</v>
      </c>
      <c r="F139" s="12" t="s">
        <v>274</v>
      </c>
      <c r="G139" s="12" t="s">
        <v>18</v>
      </c>
      <c r="H139" s="12" t="s">
        <v>19</v>
      </c>
      <c r="I139" s="13">
        <v>45915</v>
      </c>
      <c r="J139" s="13">
        <v>45915</v>
      </c>
      <c r="K139" s="14">
        <v>24000</v>
      </c>
      <c r="L139" s="26"/>
      <c r="M139" s="12"/>
    </row>
    <row r="140" spans="1:13" x14ac:dyDescent="0.25">
      <c r="A140" s="12">
        <v>7</v>
      </c>
      <c r="B140" s="12" t="s">
        <v>22</v>
      </c>
      <c r="C140" s="12" t="s">
        <v>359</v>
      </c>
      <c r="D140" s="12">
        <v>300216</v>
      </c>
      <c r="E140" s="12" t="s">
        <v>32</v>
      </c>
      <c r="F140" s="12" t="s">
        <v>56</v>
      </c>
      <c r="G140" s="12" t="s">
        <v>18</v>
      </c>
      <c r="H140" s="12" t="s">
        <v>21</v>
      </c>
      <c r="I140" s="13">
        <v>45511</v>
      </c>
      <c r="J140" s="13">
        <v>45919</v>
      </c>
      <c r="K140" s="14">
        <v>205</v>
      </c>
      <c r="L140" s="26"/>
      <c r="M140" s="12"/>
    </row>
    <row r="141" spans="1:13" x14ac:dyDescent="0.25">
      <c r="A141" s="12">
        <v>8</v>
      </c>
      <c r="B141" s="15" t="s">
        <v>22</v>
      </c>
      <c r="C141" s="15" t="s">
        <v>360</v>
      </c>
      <c r="D141" s="15">
        <v>300218</v>
      </c>
      <c r="E141" s="15" t="s">
        <v>24</v>
      </c>
      <c r="F141" s="15" t="s">
        <v>361</v>
      </c>
      <c r="G141" s="15" t="s">
        <v>20</v>
      </c>
      <c r="H141" s="15" t="s">
        <v>19</v>
      </c>
      <c r="I141" s="16">
        <v>45531</v>
      </c>
      <c r="J141" s="16">
        <v>45919</v>
      </c>
      <c r="K141" s="17">
        <v>75000</v>
      </c>
      <c r="L141" s="25" t="s">
        <v>57</v>
      </c>
      <c r="M141" s="15"/>
    </row>
    <row r="142" spans="1:13" x14ac:dyDescent="0.25">
      <c r="A142" s="12">
        <v>9</v>
      </c>
      <c r="B142" s="15" t="s">
        <v>16</v>
      </c>
      <c r="C142" s="15" t="s">
        <v>362</v>
      </c>
      <c r="D142" s="15">
        <v>300288</v>
      </c>
      <c r="E142" s="15" t="s">
        <v>17</v>
      </c>
      <c r="F142" s="15" t="s">
        <v>363</v>
      </c>
      <c r="G142" s="15" t="s">
        <v>18</v>
      </c>
      <c r="H142" s="15" t="s">
        <v>19</v>
      </c>
      <c r="I142" s="16">
        <v>45916</v>
      </c>
      <c r="J142" s="16">
        <v>45922</v>
      </c>
      <c r="K142" s="17">
        <v>28000</v>
      </c>
      <c r="L142" s="25" t="s">
        <v>364</v>
      </c>
      <c r="M142" s="15"/>
    </row>
    <row r="143" spans="1:13" x14ac:dyDescent="0.25">
      <c r="A143" s="12">
        <v>10</v>
      </c>
      <c r="B143" s="15" t="s">
        <v>16</v>
      </c>
      <c r="C143" s="15" t="s">
        <v>365</v>
      </c>
      <c r="D143" s="15">
        <v>300298</v>
      </c>
      <c r="E143" s="15" t="s">
        <v>17</v>
      </c>
      <c r="F143" s="15" t="s">
        <v>366</v>
      </c>
      <c r="G143" s="15" t="s">
        <v>20</v>
      </c>
      <c r="H143" s="15" t="s">
        <v>19</v>
      </c>
      <c r="I143" s="16">
        <v>45920</v>
      </c>
      <c r="J143" s="16">
        <v>45922</v>
      </c>
      <c r="K143" s="17">
        <v>18000</v>
      </c>
      <c r="L143" s="25"/>
      <c r="M143" s="15"/>
    </row>
    <row r="144" spans="1:13" x14ac:dyDescent="0.25">
      <c r="A144" s="12">
        <v>11</v>
      </c>
      <c r="B144" s="12" t="s">
        <v>16</v>
      </c>
      <c r="C144" s="12" t="s">
        <v>367</v>
      </c>
      <c r="D144" s="12">
        <v>300310</v>
      </c>
      <c r="E144" s="12" t="s">
        <v>17</v>
      </c>
      <c r="F144" s="12" t="s">
        <v>366</v>
      </c>
      <c r="G144" s="12" t="s">
        <v>20</v>
      </c>
      <c r="H144" s="12" t="s">
        <v>19</v>
      </c>
      <c r="I144" s="13">
        <v>45918</v>
      </c>
      <c r="J144" s="13">
        <v>45922</v>
      </c>
      <c r="K144" s="14">
        <v>18000</v>
      </c>
      <c r="L144" s="26" t="s">
        <v>67</v>
      </c>
      <c r="M144" s="22" t="s">
        <v>40</v>
      </c>
    </row>
    <row r="145" spans="1:13" x14ac:dyDescent="0.25">
      <c r="A145" s="12">
        <v>12</v>
      </c>
      <c r="B145" s="15" t="s">
        <v>183</v>
      </c>
      <c r="C145" s="15" t="s">
        <v>368</v>
      </c>
      <c r="D145" s="15">
        <v>300544</v>
      </c>
      <c r="E145" s="15" t="s">
        <v>17</v>
      </c>
      <c r="F145" s="15" t="s">
        <v>369</v>
      </c>
      <c r="G145" s="15" t="s">
        <v>18</v>
      </c>
      <c r="H145" s="15" t="s">
        <v>19</v>
      </c>
      <c r="I145" s="16">
        <v>45922</v>
      </c>
      <c r="J145" s="16">
        <v>45923</v>
      </c>
      <c r="K145" s="17">
        <v>21500</v>
      </c>
      <c r="L145" s="25" t="s">
        <v>370</v>
      </c>
      <c r="M145" s="15"/>
    </row>
    <row r="146" spans="1:13" x14ac:dyDescent="0.25">
      <c r="A146" s="12">
        <v>13</v>
      </c>
      <c r="B146" s="15" t="s">
        <v>22</v>
      </c>
      <c r="C146" s="15" t="s">
        <v>353</v>
      </c>
      <c r="D146" s="15">
        <v>300738</v>
      </c>
      <c r="E146" s="15" t="s">
        <v>17</v>
      </c>
      <c r="F146" s="15" t="s">
        <v>371</v>
      </c>
      <c r="G146" s="15" t="s">
        <v>20</v>
      </c>
      <c r="H146" s="15" t="s">
        <v>19</v>
      </c>
      <c r="I146" s="16">
        <v>45923</v>
      </c>
      <c r="J146" s="16">
        <v>45924</v>
      </c>
      <c r="K146" s="17">
        <v>14000</v>
      </c>
      <c r="L146" s="25"/>
      <c r="M146" s="15"/>
    </row>
    <row r="147" spans="1:13" x14ac:dyDescent="0.25">
      <c r="A147" s="12">
        <v>14</v>
      </c>
      <c r="B147" s="15" t="s">
        <v>16</v>
      </c>
      <c r="C147" s="15" t="s">
        <v>354</v>
      </c>
      <c r="D147" s="15">
        <v>300692</v>
      </c>
      <c r="E147" s="15" t="s">
        <v>17</v>
      </c>
      <c r="F147" s="15" t="s">
        <v>28</v>
      </c>
      <c r="G147" s="15" t="s">
        <v>18</v>
      </c>
      <c r="H147" s="15" t="s">
        <v>19</v>
      </c>
      <c r="I147" s="16">
        <v>45924</v>
      </c>
      <c r="J147" s="16">
        <v>45924</v>
      </c>
      <c r="K147" s="17">
        <v>18000</v>
      </c>
      <c r="L147" s="25"/>
      <c r="M147" s="15"/>
    </row>
    <row r="148" spans="1:13" x14ac:dyDescent="0.25">
      <c r="A148" s="12">
        <v>15</v>
      </c>
      <c r="B148" s="12" t="s">
        <v>183</v>
      </c>
      <c r="C148" s="15" t="s">
        <v>355</v>
      </c>
      <c r="D148" s="15">
        <v>300832</v>
      </c>
      <c r="E148" s="15" t="s">
        <v>32</v>
      </c>
      <c r="F148" s="15" t="s">
        <v>372</v>
      </c>
      <c r="G148" s="15" t="s">
        <v>18</v>
      </c>
      <c r="H148" s="15" t="s">
        <v>19</v>
      </c>
      <c r="I148" s="16">
        <v>45925</v>
      </c>
      <c r="J148" s="16">
        <v>45930</v>
      </c>
      <c r="K148" s="17">
        <v>17000</v>
      </c>
      <c r="L148" s="25"/>
      <c r="M148" s="15"/>
    </row>
    <row r="149" spans="1:13" x14ac:dyDescent="0.25">
      <c r="A149" s="12">
        <v>16</v>
      </c>
      <c r="B149" s="15" t="s">
        <v>183</v>
      </c>
      <c r="C149" s="15" t="s">
        <v>356</v>
      </c>
      <c r="D149" s="15">
        <v>300846</v>
      </c>
      <c r="E149" s="15" t="s">
        <v>32</v>
      </c>
      <c r="F149" s="15" t="s">
        <v>373</v>
      </c>
      <c r="G149" s="15" t="s">
        <v>18</v>
      </c>
      <c r="H149" s="15" t="s">
        <v>19</v>
      </c>
      <c r="I149" s="16">
        <v>45925</v>
      </c>
      <c r="J149" s="16">
        <v>45930</v>
      </c>
      <c r="K149" s="17">
        <v>150000</v>
      </c>
      <c r="L149" s="25"/>
      <c r="M149" s="15"/>
    </row>
    <row r="150" spans="1:13" x14ac:dyDescent="0.25">
      <c r="A150" s="15">
        <v>17</v>
      </c>
      <c r="B150" s="15" t="s">
        <v>16</v>
      </c>
      <c r="C150" s="15" t="s">
        <v>357</v>
      </c>
      <c r="D150" s="15">
        <v>301203</v>
      </c>
      <c r="E150" s="15" t="s">
        <v>23</v>
      </c>
      <c r="F150" s="15" t="s">
        <v>374</v>
      </c>
      <c r="G150" s="15" t="s">
        <v>20</v>
      </c>
      <c r="H150" s="15" t="s">
        <v>19</v>
      </c>
      <c r="I150" s="16">
        <v>45923</v>
      </c>
      <c r="J150" s="16">
        <v>45930</v>
      </c>
      <c r="K150" s="17">
        <v>44000</v>
      </c>
      <c r="L150" s="25" t="s">
        <v>375</v>
      </c>
      <c r="M150" s="15"/>
    </row>
    <row r="151" spans="1:13" x14ac:dyDescent="0.25">
      <c r="A151" s="15">
        <v>18</v>
      </c>
      <c r="B151" s="15" t="s">
        <v>183</v>
      </c>
      <c r="C151" s="15" t="s">
        <v>358</v>
      </c>
      <c r="D151" s="15">
        <v>301570</v>
      </c>
      <c r="E151" s="15" t="s">
        <v>32</v>
      </c>
      <c r="F151" s="15" t="s">
        <v>372</v>
      </c>
      <c r="G151" s="15" t="s">
        <v>18</v>
      </c>
      <c r="H151" s="15" t="s">
        <v>19</v>
      </c>
      <c r="I151" s="16">
        <v>45929</v>
      </c>
      <c r="J151" s="16">
        <v>45930</v>
      </c>
      <c r="K151" s="17">
        <v>55000</v>
      </c>
      <c r="L151" s="25"/>
      <c r="M151" s="15"/>
    </row>
    <row r="152" spans="1:13" x14ac:dyDescent="0.25">
      <c r="A152" s="15">
        <v>19</v>
      </c>
      <c r="B152" s="15" t="s">
        <v>183</v>
      </c>
      <c r="C152" s="15" t="s">
        <v>359</v>
      </c>
      <c r="D152" s="15">
        <v>301593</v>
      </c>
      <c r="E152" s="15" t="s">
        <v>32</v>
      </c>
      <c r="F152" s="15" t="s">
        <v>372</v>
      </c>
      <c r="G152" s="15" t="s">
        <v>18</v>
      </c>
      <c r="H152" s="15" t="s">
        <v>21</v>
      </c>
      <c r="I152" s="16">
        <v>45929</v>
      </c>
      <c r="J152" s="16">
        <v>45930</v>
      </c>
      <c r="K152" s="17">
        <v>450</v>
      </c>
      <c r="L152" s="25"/>
      <c r="M152" s="15"/>
    </row>
    <row r="153" spans="1:13" x14ac:dyDescent="0.25">
      <c r="A153" s="15">
        <v>20</v>
      </c>
      <c r="B153" s="15" t="s">
        <v>183</v>
      </c>
      <c r="C153" s="15" t="s">
        <v>376</v>
      </c>
      <c r="D153" s="15">
        <v>301654</v>
      </c>
      <c r="E153" s="15" t="s">
        <v>32</v>
      </c>
      <c r="F153" s="15" t="s">
        <v>372</v>
      </c>
      <c r="G153" s="15" t="s">
        <v>18</v>
      </c>
      <c r="H153" s="15" t="s">
        <v>19</v>
      </c>
      <c r="I153" s="16">
        <v>45929</v>
      </c>
      <c r="J153" s="16">
        <v>45930</v>
      </c>
      <c r="K153" s="17">
        <v>55000</v>
      </c>
      <c r="L153" s="25"/>
      <c r="M153" s="15"/>
    </row>
    <row r="154" spans="1:13" x14ac:dyDescent="0.25">
      <c r="A154" s="15">
        <v>21</v>
      </c>
      <c r="B154" s="15" t="s">
        <v>183</v>
      </c>
      <c r="C154" s="15" t="s">
        <v>377</v>
      </c>
      <c r="D154" s="15">
        <v>301698</v>
      </c>
      <c r="E154" s="15" t="s">
        <v>32</v>
      </c>
      <c r="F154" s="15" t="s">
        <v>372</v>
      </c>
      <c r="G154" s="15" t="s">
        <v>18</v>
      </c>
      <c r="H154" s="15" t="s">
        <v>21</v>
      </c>
      <c r="I154" s="16">
        <v>45929</v>
      </c>
      <c r="J154" s="16">
        <v>45930</v>
      </c>
      <c r="K154" s="17">
        <v>600</v>
      </c>
      <c r="L154" s="25"/>
      <c r="M154" s="15"/>
    </row>
    <row r="155" spans="1:13" ht="15.75" thickBot="1" x14ac:dyDescent="0.3">
      <c r="A155" s="15">
        <v>22</v>
      </c>
      <c r="B155" s="15" t="s">
        <v>26</v>
      </c>
      <c r="C155" s="15" t="s">
        <v>360</v>
      </c>
      <c r="D155" s="15">
        <v>301786</v>
      </c>
      <c r="E155" s="15" t="s">
        <v>32</v>
      </c>
      <c r="F155" s="15" t="s">
        <v>378</v>
      </c>
      <c r="G155" s="15" t="s">
        <v>18</v>
      </c>
      <c r="H155" s="15" t="s">
        <v>19</v>
      </c>
      <c r="I155" s="13">
        <v>45922</v>
      </c>
      <c r="J155" s="13">
        <v>45930</v>
      </c>
      <c r="K155" s="17">
        <v>23000</v>
      </c>
      <c r="L155" s="26"/>
      <c r="M155" s="12"/>
    </row>
    <row r="156" spans="1:13" ht="15.75" thickBot="1" x14ac:dyDescent="0.3">
      <c r="A156" s="132" t="s">
        <v>59</v>
      </c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4"/>
    </row>
    <row r="157" spans="1:13" x14ac:dyDescent="0.25">
      <c r="A157" s="12">
        <v>1</v>
      </c>
      <c r="B157" s="12" t="s">
        <v>16</v>
      </c>
      <c r="C157" s="15" t="s">
        <v>362</v>
      </c>
      <c r="D157" s="12">
        <v>302082</v>
      </c>
      <c r="E157" s="12" t="s">
        <v>17</v>
      </c>
      <c r="F157" s="12" t="s">
        <v>379</v>
      </c>
      <c r="G157" s="12" t="s">
        <v>18</v>
      </c>
      <c r="H157" s="12" t="s">
        <v>19</v>
      </c>
      <c r="I157" s="13">
        <v>45930</v>
      </c>
      <c r="J157" s="13">
        <v>45938</v>
      </c>
      <c r="K157" s="14">
        <v>15000</v>
      </c>
      <c r="L157" s="42"/>
      <c r="M157" s="14"/>
    </row>
    <row r="158" spans="1:13" x14ac:dyDescent="0.25">
      <c r="A158" s="12">
        <v>2</v>
      </c>
      <c r="B158" s="12" t="s">
        <v>183</v>
      </c>
      <c r="C158" s="12" t="s">
        <v>365</v>
      </c>
      <c r="D158" s="12">
        <v>302688</v>
      </c>
      <c r="E158" s="12" t="s">
        <v>24</v>
      </c>
      <c r="F158" s="12" t="s">
        <v>380</v>
      </c>
      <c r="G158" s="12" t="s">
        <v>18</v>
      </c>
      <c r="H158" s="12" t="s">
        <v>19</v>
      </c>
      <c r="I158" s="13">
        <v>45939</v>
      </c>
      <c r="J158" s="13">
        <v>45943</v>
      </c>
      <c r="K158" s="14">
        <v>35000</v>
      </c>
      <c r="L158" s="42"/>
      <c r="M158" s="12"/>
    </row>
    <row r="159" spans="1:13" x14ac:dyDescent="0.25">
      <c r="A159" s="12">
        <v>3</v>
      </c>
      <c r="B159" s="12" t="s">
        <v>22</v>
      </c>
      <c r="C159" s="12" t="s">
        <v>367</v>
      </c>
      <c r="D159" s="12">
        <v>302913</v>
      </c>
      <c r="E159" s="12" t="s">
        <v>17</v>
      </c>
      <c r="F159" s="12" t="s">
        <v>381</v>
      </c>
      <c r="G159" s="12" t="s">
        <v>18</v>
      </c>
      <c r="H159" s="12" t="s">
        <v>19</v>
      </c>
      <c r="I159" s="13">
        <v>45549</v>
      </c>
      <c r="J159" s="13">
        <v>45943</v>
      </c>
      <c r="K159" s="14">
        <v>36000</v>
      </c>
      <c r="L159" s="26" t="s">
        <v>58</v>
      </c>
      <c r="M159" s="12"/>
    </row>
    <row r="160" spans="1:13" x14ac:dyDescent="0.25">
      <c r="A160" s="12">
        <v>4</v>
      </c>
      <c r="B160" s="12" t="s">
        <v>16</v>
      </c>
      <c r="C160" s="12" t="s">
        <v>368</v>
      </c>
      <c r="D160" s="12">
        <v>305081</v>
      </c>
      <c r="E160" s="12" t="s">
        <v>17</v>
      </c>
      <c r="F160" s="12" t="s">
        <v>382</v>
      </c>
      <c r="G160" s="12" t="s">
        <v>18</v>
      </c>
      <c r="H160" s="12" t="s">
        <v>19</v>
      </c>
      <c r="I160" s="13">
        <v>45957</v>
      </c>
      <c r="J160" s="13">
        <v>45959</v>
      </c>
      <c r="K160" s="14">
        <v>29000</v>
      </c>
      <c r="L160" s="26" t="s">
        <v>383</v>
      </c>
      <c r="M160" s="12"/>
    </row>
    <row r="161" spans="1:13" ht="15.75" thickBot="1" x14ac:dyDescent="0.3">
      <c r="A161" s="12">
        <v>5</v>
      </c>
      <c r="B161" s="12" t="s">
        <v>26</v>
      </c>
      <c r="C161" s="12" t="s">
        <v>384</v>
      </c>
      <c r="D161" s="12">
        <v>305412</v>
      </c>
      <c r="E161" s="12" t="s">
        <v>41</v>
      </c>
      <c r="F161" s="12" t="s">
        <v>385</v>
      </c>
      <c r="G161" s="12" t="s">
        <v>18</v>
      </c>
      <c r="H161" s="12" t="s">
        <v>19</v>
      </c>
      <c r="I161" s="13">
        <v>45960</v>
      </c>
      <c r="J161" s="13">
        <v>45960</v>
      </c>
      <c r="K161" s="14">
        <v>40000</v>
      </c>
      <c r="L161" s="26"/>
      <c r="M161" s="12"/>
    </row>
    <row r="162" spans="1:13" ht="15.75" thickBot="1" x14ac:dyDescent="0.3">
      <c r="A162" s="132" t="s">
        <v>61</v>
      </c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4"/>
    </row>
    <row r="163" spans="1:13" x14ac:dyDescent="0.25">
      <c r="A163" s="12">
        <v>1</v>
      </c>
      <c r="B163" s="12" t="s">
        <v>183</v>
      </c>
      <c r="C163" s="12" t="s">
        <v>389</v>
      </c>
      <c r="D163" s="12">
        <v>305890</v>
      </c>
      <c r="E163" s="12" t="s">
        <v>24</v>
      </c>
      <c r="F163" s="12" t="s">
        <v>388</v>
      </c>
      <c r="G163" s="12" t="s">
        <v>20</v>
      </c>
      <c r="H163" s="12" t="s">
        <v>19</v>
      </c>
      <c r="I163" s="13">
        <v>45964</v>
      </c>
      <c r="J163" s="13">
        <v>45964</v>
      </c>
      <c r="K163" s="14">
        <v>45000</v>
      </c>
      <c r="L163" s="42"/>
      <c r="M163" s="14"/>
    </row>
    <row r="164" spans="1:13" x14ac:dyDescent="0.25">
      <c r="A164" s="12">
        <v>2</v>
      </c>
      <c r="B164" s="12" t="s">
        <v>22</v>
      </c>
      <c r="C164" s="12" t="s">
        <v>390</v>
      </c>
      <c r="D164" s="12">
        <v>305910</v>
      </c>
      <c r="E164" s="12" t="s">
        <v>17</v>
      </c>
      <c r="F164" s="12" t="s">
        <v>386</v>
      </c>
      <c r="G164" s="12" t="s">
        <v>18</v>
      </c>
      <c r="H164" s="12" t="s">
        <v>19</v>
      </c>
      <c r="I164" s="13">
        <v>45958</v>
      </c>
      <c r="J164" s="13">
        <v>45964</v>
      </c>
      <c r="K164" s="14">
        <v>30000</v>
      </c>
      <c r="L164" s="42"/>
      <c r="M164" s="12"/>
    </row>
    <row r="165" spans="1:13" x14ac:dyDescent="0.25">
      <c r="A165" s="12">
        <v>3</v>
      </c>
      <c r="B165" s="12" t="s">
        <v>22</v>
      </c>
      <c r="C165" s="12" t="s">
        <v>391</v>
      </c>
      <c r="D165" s="12">
        <v>305990</v>
      </c>
      <c r="E165" s="12" t="s">
        <v>24</v>
      </c>
      <c r="F165" s="12" t="s">
        <v>387</v>
      </c>
      <c r="G165" s="12" t="s">
        <v>18</v>
      </c>
      <c r="H165" s="12" t="s">
        <v>19</v>
      </c>
      <c r="I165" s="13">
        <v>45586</v>
      </c>
      <c r="J165" s="13">
        <v>45964</v>
      </c>
      <c r="K165" s="14">
        <v>20000</v>
      </c>
      <c r="L165" s="26" t="s">
        <v>392</v>
      </c>
      <c r="M165" s="12"/>
    </row>
    <row r="166" spans="1:13" x14ac:dyDescent="0.25">
      <c r="A166" s="12">
        <v>4</v>
      </c>
      <c r="B166" s="12" t="s">
        <v>26</v>
      </c>
      <c r="C166" s="12" t="s">
        <v>393</v>
      </c>
      <c r="D166" s="12">
        <v>306118</v>
      </c>
      <c r="E166" s="12" t="s">
        <v>24</v>
      </c>
      <c r="F166" s="12" t="s">
        <v>394</v>
      </c>
      <c r="G166" s="12" t="s">
        <v>18</v>
      </c>
      <c r="H166" s="12" t="s">
        <v>19</v>
      </c>
      <c r="I166" s="13">
        <v>45961</v>
      </c>
      <c r="J166" s="13">
        <v>45965</v>
      </c>
      <c r="K166" s="14">
        <v>45000</v>
      </c>
      <c r="L166" s="26"/>
      <c r="M166" s="12"/>
    </row>
    <row r="167" spans="1:13" x14ac:dyDescent="0.25">
      <c r="A167" s="12">
        <v>5</v>
      </c>
      <c r="B167" s="12" t="s">
        <v>183</v>
      </c>
      <c r="C167" s="12" t="s">
        <v>395</v>
      </c>
      <c r="D167" s="12">
        <v>306345</v>
      </c>
      <c r="E167" s="12" t="s">
        <v>17</v>
      </c>
      <c r="F167" s="12" t="s">
        <v>396</v>
      </c>
      <c r="G167" s="12" t="s">
        <v>18</v>
      </c>
      <c r="H167" s="12" t="s">
        <v>19</v>
      </c>
      <c r="I167" s="13">
        <v>45967</v>
      </c>
      <c r="J167" s="13">
        <v>45967</v>
      </c>
      <c r="K167" s="14">
        <v>21000</v>
      </c>
      <c r="L167" s="26"/>
      <c r="M167" s="12"/>
    </row>
    <row r="168" spans="1:13" x14ac:dyDescent="0.25">
      <c r="A168" s="12">
        <v>6</v>
      </c>
      <c r="B168" s="12" t="s">
        <v>183</v>
      </c>
      <c r="C168" s="12" t="s">
        <v>400</v>
      </c>
      <c r="D168" s="12">
        <v>306887</v>
      </c>
      <c r="E168" s="12" t="s">
        <v>23</v>
      </c>
      <c r="F168" s="12" t="s">
        <v>401</v>
      </c>
      <c r="G168" s="12" t="s">
        <v>20</v>
      </c>
      <c r="H168" s="12" t="s">
        <v>19</v>
      </c>
      <c r="I168" s="13">
        <v>45970</v>
      </c>
      <c r="J168" s="13">
        <v>45972</v>
      </c>
      <c r="K168" s="14">
        <v>180000</v>
      </c>
      <c r="L168" s="26"/>
      <c r="M168" s="12"/>
    </row>
    <row r="169" spans="1:13" x14ac:dyDescent="0.25">
      <c r="A169" s="12">
        <v>7</v>
      </c>
      <c r="B169" s="12" t="s">
        <v>183</v>
      </c>
      <c r="C169" s="12" t="s">
        <v>402</v>
      </c>
      <c r="D169" s="12">
        <v>306900</v>
      </c>
      <c r="E169" s="12" t="s">
        <v>17</v>
      </c>
      <c r="F169" s="12" t="s">
        <v>403</v>
      </c>
      <c r="G169" s="12" t="s">
        <v>20</v>
      </c>
      <c r="H169" s="12" t="s">
        <v>19</v>
      </c>
      <c r="I169" s="13">
        <v>45970</v>
      </c>
      <c r="J169" s="13">
        <v>45972</v>
      </c>
      <c r="K169" s="14">
        <v>68000</v>
      </c>
      <c r="L169" s="26"/>
      <c r="M169" s="12"/>
    </row>
    <row r="170" spans="1:13" x14ac:dyDescent="0.25">
      <c r="A170" s="12">
        <v>8</v>
      </c>
      <c r="B170" s="15" t="s">
        <v>183</v>
      </c>
      <c r="C170" s="15" t="s">
        <v>404</v>
      </c>
      <c r="D170" s="15">
        <v>306916</v>
      </c>
      <c r="E170" s="15" t="s">
        <v>41</v>
      </c>
      <c r="F170" s="15" t="s">
        <v>405</v>
      </c>
      <c r="G170" s="15" t="s">
        <v>20</v>
      </c>
      <c r="H170" s="15" t="s">
        <v>19</v>
      </c>
      <c r="I170" s="16">
        <v>45970</v>
      </c>
      <c r="J170" s="16">
        <v>45972</v>
      </c>
      <c r="K170" s="17">
        <v>50000</v>
      </c>
      <c r="L170" s="25"/>
      <c r="M170" s="15"/>
    </row>
    <row r="171" spans="1:13" x14ac:dyDescent="0.25">
      <c r="A171" s="12">
        <v>9</v>
      </c>
      <c r="B171" s="15" t="s">
        <v>183</v>
      </c>
      <c r="C171" s="15" t="s">
        <v>406</v>
      </c>
      <c r="D171" s="15">
        <v>306925</v>
      </c>
      <c r="E171" s="15" t="s">
        <v>41</v>
      </c>
      <c r="F171" s="15" t="s">
        <v>405</v>
      </c>
      <c r="G171" s="15" t="s">
        <v>20</v>
      </c>
      <c r="H171" s="15" t="s">
        <v>19</v>
      </c>
      <c r="I171" s="16">
        <v>45970</v>
      </c>
      <c r="J171" s="16">
        <v>45972</v>
      </c>
      <c r="K171" s="17">
        <v>30000</v>
      </c>
      <c r="L171" s="25"/>
      <c r="M171" s="15"/>
    </row>
    <row r="172" spans="1:13" x14ac:dyDescent="0.25">
      <c r="A172" s="12">
        <v>10</v>
      </c>
      <c r="B172" s="15" t="s">
        <v>183</v>
      </c>
      <c r="C172" s="15" t="s">
        <v>408</v>
      </c>
      <c r="D172" s="15">
        <v>306934</v>
      </c>
      <c r="E172" s="15" t="s">
        <v>41</v>
      </c>
      <c r="F172" s="15" t="s">
        <v>405</v>
      </c>
      <c r="G172" s="15" t="s">
        <v>20</v>
      </c>
      <c r="H172" s="15" t="s">
        <v>19</v>
      </c>
      <c r="I172" s="16">
        <v>45970</v>
      </c>
      <c r="J172" s="16">
        <v>45972</v>
      </c>
      <c r="K172" s="17">
        <v>20000</v>
      </c>
      <c r="L172" s="25"/>
      <c r="M172" s="15"/>
    </row>
    <row r="173" spans="1:13" x14ac:dyDescent="0.25">
      <c r="A173" s="12">
        <v>11</v>
      </c>
      <c r="B173" s="12" t="s">
        <v>183</v>
      </c>
      <c r="C173" s="12" t="s">
        <v>407</v>
      </c>
      <c r="D173" s="12">
        <v>306939</v>
      </c>
      <c r="E173" s="12" t="s">
        <v>27</v>
      </c>
      <c r="F173" s="12" t="s">
        <v>410</v>
      </c>
      <c r="G173" s="12" t="s">
        <v>20</v>
      </c>
      <c r="H173" s="12" t="s">
        <v>19</v>
      </c>
      <c r="I173" s="13">
        <v>45970</v>
      </c>
      <c r="J173" s="13">
        <v>45973</v>
      </c>
      <c r="K173" s="14">
        <v>180000</v>
      </c>
      <c r="L173" s="26" t="s">
        <v>413</v>
      </c>
      <c r="M173" s="12"/>
    </row>
    <row r="174" spans="1:13" x14ac:dyDescent="0.25">
      <c r="A174" s="12">
        <v>12</v>
      </c>
      <c r="B174" s="15" t="s">
        <v>183</v>
      </c>
      <c r="C174" s="15" t="s">
        <v>409</v>
      </c>
      <c r="D174" s="15">
        <v>306949</v>
      </c>
      <c r="E174" s="15" t="s">
        <v>411</v>
      </c>
      <c r="F174" s="15" t="s">
        <v>412</v>
      </c>
      <c r="G174" s="15" t="s">
        <v>20</v>
      </c>
      <c r="H174" s="15" t="s">
        <v>19</v>
      </c>
      <c r="I174" s="16">
        <v>45970</v>
      </c>
      <c r="J174" s="16">
        <v>45973</v>
      </c>
      <c r="K174" s="17">
        <v>480000</v>
      </c>
      <c r="L174" s="25"/>
      <c r="M174" s="15"/>
    </row>
    <row r="175" spans="1:13" x14ac:dyDescent="0.25">
      <c r="A175" s="12">
        <v>13</v>
      </c>
      <c r="B175" s="15" t="s">
        <v>16</v>
      </c>
      <c r="C175" s="15" t="s">
        <v>414</v>
      </c>
      <c r="D175" s="15">
        <v>307279</v>
      </c>
      <c r="E175" s="15" t="s">
        <v>17</v>
      </c>
      <c r="F175" s="15" t="s">
        <v>416</v>
      </c>
      <c r="G175" s="15" t="s">
        <v>18</v>
      </c>
      <c r="H175" s="15" t="s">
        <v>19</v>
      </c>
      <c r="I175" s="16">
        <v>45975</v>
      </c>
      <c r="J175" s="16">
        <v>45975</v>
      </c>
      <c r="K175" s="17">
        <v>18000</v>
      </c>
      <c r="L175" s="25" t="s">
        <v>417</v>
      </c>
      <c r="M175" s="15"/>
    </row>
    <row r="176" spans="1:13" x14ac:dyDescent="0.25">
      <c r="A176" s="12">
        <v>14</v>
      </c>
      <c r="B176" s="15" t="s">
        <v>183</v>
      </c>
      <c r="C176" s="15" t="s">
        <v>415</v>
      </c>
      <c r="D176" s="15">
        <v>307284</v>
      </c>
      <c r="E176" s="15" t="s">
        <v>41</v>
      </c>
      <c r="F176" s="15" t="s">
        <v>418</v>
      </c>
      <c r="G176" s="15" t="s">
        <v>20</v>
      </c>
      <c r="H176" s="15" t="s">
        <v>19</v>
      </c>
      <c r="I176" s="16">
        <v>45970</v>
      </c>
      <c r="J176" s="16">
        <v>45975</v>
      </c>
      <c r="K176" s="17">
        <v>148000</v>
      </c>
      <c r="L176" s="25" t="s">
        <v>413</v>
      </c>
      <c r="M176" s="15"/>
    </row>
    <row r="177" spans="1:13" x14ac:dyDescent="0.25">
      <c r="A177" s="12">
        <v>15</v>
      </c>
      <c r="B177" s="15" t="s">
        <v>183</v>
      </c>
      <c r="C177" s="15" t="s">
        <v>393</v>
      </c>
      <c r="D177" s="15">
        <v>307291</v>
      </c>
      <c r="E177" s="15" t="s">
        <v>41</v>
      </c>
      <c r="F177" s="15" t="s">
        <v>419</v>
      </c>
      <c r="G177" s="15" t="s">
        <v>20</v>
      </c>
      <c r="H177" s="15" t="s">
        <v>19</v>
      </c>
      <c r="I177" s="16">
        <v>45970</v>
      </c>
      <c r="J177" s="16">
        <v>45975</v>
      </c>
      <c r="K177" s="17">
        <v>450000</v>
      </c>
      <c r="L177" s="25" t="s">
        <v>413</v>
      </c>
      <c r="M177" s="15"/>
    </row>
    <row r="178" spans="1:13" x14ac:dyDescent="0.25">
      <c r="A178" s="12">
        <v>16</v>
      </c>
      <c r="B178" s="15" t="s">
        <v>183</v>
      </c>
      <c r="C178" s="15" t="s">
        <v>395</v>
      </c>
      <c r="D178" s="15">
        <v>307295</v>
      </c>
      <c r="E178" s="15" t="s">
        <v>41</v>
      </c>
      <c r="F178" s="15" t="s">
        <v>420</v>
      </c>
      <c r="G178" s="15" t="s">
        <v>18</v>
      </c>
      <c r="H178" s="15" t="s">
        <v>19</v>
      </c>
      <c r="I178" s="16">
        <v>45967</v>
      </c>
      <c r="J178" s="16">
        <v>45975</v>
      </c>
      <c r="K178" s="17">
        <v>25000</v>
      </c>
      <c r="L178" s="25" t="s">
        <v>421</v>
      </c>
      <c r="M178" s="15"/>
    </row>
    <row r="179" spans="1:13" x14ac:dyDescent="0.25">
      <c r="A179" s="15">
        <v>17</v>
      </c>
      <c r="B179" s="15" t="s">
        <v>16</v>
      </c>
      <c r="C179" s="15" t="s">
        <v>400</v>
      </c>
      <c r="D179" s="15">
        <v>307320</v>
      </c>
      <c r="E179" s="15" t="s">
        <v>17</v>
      </c>
      <c r="F179" s="15" t="s">
        <v>36</v>
      </c>
      <c r="G179" s="15" t="s">
        <v>18</v>
      </c>
      <c r="H179" s="15" t="s">
        <v>19</v>
      </c>
      <c r="I179" s="16">
        <v>45975</v>
      </c>
      <c r="J179" s="16">
        <v>45975</v>
      </c>
      <c r="K179" s="17">
        <v>48000</v>
      </c>
      <c r="L179" s="25"/>
      <c r="M179" s="15"/>
    </row>
    <row r="180" spans="1:13" x14ac:dyDescent="0.25">
      <c r="A180" s="15">
        <v>18</v>
      </c>
      <c r="B180" s="15" t="s">
        <v>26</v>
      </c>
      <c r="C180" s="15" t="s">
        <v>402</v>
      </c>
      <c r="D180" s="15">
        <v>307747</v>
      </c>
      <c r="E180" s="15" t="s">
        <v>17</v>
      </c>
      <c r="F180" s="15" t="s">
        <v>422</v>
      </c>
      <c r="G180" s="15" t="s">
        <v>20</v>
      </c>
      <c r="H180" s="15" t="s">
        <v>19</v>
      </c>
      <c r="I180" s="16"/>
      <c r="J180" s="16">
        <v>45980</v>
      </c>
      <c r="K180" s="17">
        <v>25000</v>
      </c>
      <c r="L180" s="25"/>
      <c r="M180" s="15"/>
    </row>
    <row r="181" spans="1:13" x14ac:dyDescent="0.25">
      <c r="A181" s="15">
        <v>19</v>
      </c>
      <c r="B181" s="15" t="s">
        <v>22</v>
      </c>
      <c r="C181" s="15" t="s">
        <v>404</v>
      </c>
      <c r="D181" s="15">
        <v>307738</v>
      </c>
      <c r="E181" s="15" t="s">
        <v>423</v>
      </c>
      <c r="F181" s="15" t="s">
        <v>424</v>
      </c>
      <c r="G181" s="15" t="s">
        <v>20</v>
      </c>
      <c r="H181" s="15" t="s">
        <v>19</v>
      </c>
      <c r="I181" s="16"/>
      <c r="J181" s="16">
        <v>45980</v>
      </c>
      <c r="K181" s="17">
        <v>450000</v>
      </c>
      <c r="L181" s="25" t="s">
        <v>425</v>
      </c>
      <c r="M181" s="15"/>
    </row>
    <row r="182" spans="1:13" x14ac:dyDescent="0.25">
      <c r="A182" s="15">
        <v>20</v>
      </c>
      <c r="B182" s="15" t="s">
        <v>16</v>
      </c>
      <c r="C182" s="15" t="s">
        <v>406</v>
      </c>
      <c r="D182" s="15">
        <v>308065</v>
      </c>
      <c r="E182" s="15" t="s">
        <v>17</v>
      </c>
      <c r="F182" s="15" t="s">
        <v>427</v>
      </c>
      <c r="G182" s="15" t="s">
        <v>18</v>
      </c>
      <c r="H182" s="15" t="s">
        <v>19</v>
      </c>
      <c r="I182" s="16">
        <v>45983</v>
      </c>
      <c r="J182" s="16">
        <v>45986</v>
      </c>
      <c r="K182" s="17">
        <v>36500</v>
      </c>
      <c r="L182" s="25"/>
      <c r="M182" s="15"/>
    </row>
    <row r="183" spans="1:13" x14ac:dyDescent="0.25">
      <c r="A183" s="15">
        <v>21</v>
      </c>
      <c r="B183" s="15" t="s">
        <v>16</v>
      </c>
      <c r="C183" s="15" t="s">
        <v>408</v>
      </c>
      <c r="D183" s="15">
        <v>308449</v>
      </c>
      <c r="E183" s="15" t="s">
        <v>428</v>
      </c>
      <c r="F183" s="15" t="s">
        <v>430</v>
      </c>
      <c r="G183" s="15" t="s">
        <v>20</v>
      </c>
      <c r="H183" s="15" t="s">
        <v>19</v>
      </c>
      <c r="I183" s="16">
        <v>45986</v>
      </c>
      <c r="J183" s="16">
        <v>45988</v>
      </c>
      <c r="K183" s="17">
        <v>47000</v>
      </c>
      <c r="L183" s="25"/>
      <c r="M183" s="15"/>
    </row>
    <row r="184" spans="1:13" ht="15.75" thickBot="1" x14ac:dyDescent="0.3">
      <c r="A184" s="15">
        <v>22</v>
      </c>
      <c r="B184" s="15" t="s">
        <v>16</v>
      </c>
      <c r="C184" s="15" t="s">
        <v>407</v>
      </c>
      <c r="D184" s="15">
        <v>308479</v>
      </c>
      <c r="E184" s="15" t="s">
        <v>428</v>
      </c>
      <c r="F184" s="15" t="s">
        <v>429</v>
      </c>
      <c r="G184" s="15" t="s">
        <v>20</v>
      </c>
      <c r="H184" s="15" t="s">
        <v>19</v>
      </c>
      <c r="I184" s="13">
        <v>45986</v>
      </c>
      <c r="J184" s="13">
        <v>45988</v>
      </c>
      <c r="K184" s="17">
        <v>47500</v>
      </c>
      <c r="L184" s="26"/>
      <c r="M184" s="12"/>
    </row>
    <row r="185" spans="1:13" ht="15.75" thickBot="1" x14ac:dyDescent="0.3">
      <c r="A185" s="132" t="s">
        <v>64</v>
      </c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4"/>
    </row>
    <row r="186" spans="1:13" x14ac:dyDescent="0.25">
      <c r="A186" s="12">
        <v>1</v>
      </c>
      <c r="B186" s="12" t="s">
        <v>26</v>
      </c>
      <c r="C186" s="15" t="s">
        <v>409</v>
      </c>
      <c r="D186" s="12">
        <v>309465</v>
      </c>
      <c r="E186" s="12" t="s">
        <v>32</v>
      </c>
      <c r="F186" s="12" t="s">
        <v>432</v>
      </c>
      <c r="G186" s="12" t="s">
        <v>20</v>
      </c>
      <c r="H186" s="12" t="s">
        <v>21</v>
      </c>
      <c r="I186" s="13">
        <v>45994</v>
      </c>
      <c r="J186" s="13">
        <v>45995</v>
      </c>
      <c r="K186" s="14">
        <v>650</v>
      </c>
      <c r="L186" s="42"/>
      <c r="M186" s="14"/>
    </row>
    <row r="187" spans="1:13" x14ac:dyDescent="0.25">
      <c r="A187" s="12">
        <v>2</v>
      </c>
      <c r="B187" s="12" t="s">
        <v>22</v>
      </c>
      <c r="C187" s="12" t="s">
        <v>414</v>
      </c>
      <c r="D187" s="12">
        <v>309727</v>
      </c>
      <c r="E187" s="12" t="s">
        <v>24</v>
      </c>
      <c r="F187" s="12" t="s">
        <v>185</v>
      </c>
      <c r="G187" s="12" t="s">
        <v>18</v>
      </c>
      <c r="H187" s="12" t="s">
        <v>19</v>
      </c>
      <c r="I187" s="13">
        <v>45994</v>
      </c>
      <c r="J187" s="13">
        <v>45996</v>
      </c>
      <c r="K187" s="14">
        <v>27000</v>
      </c>
      <c r="L187" s="42"/>
      <c r="M187" s="12"/>
    </row>
    <row r="188" spans="1:13" x14ac:dyDescent="0.25">
      <c r="A188" s="12">
        <v>3</v>
      </c>
      <c r="B188" s="12" t="s">
        <v>26</v>
      </c>
      <c r="C188" s="12" t="s">
        <v>415</v>
      </c>
      <c r="D188" s="12">
        <v>309808</v>
      </c>
      <c r="E188" s="12" t="s">
        <v>32</v>
      </c>
      <c r="F188" s="12" t="s">
        <v>433</v>
      </c>
      <c r="G188" s="12" t="s">
        <v>20</v>
      </c>
      <c r="H188" s="12" t="s">
        <v>21</v>
      </c>
      <c r="I188" s="13">
        <v>45994</v>
      </c>
      <c r="J188" s="13">
        <v>45999</v>
      </c>
      <c r="K188" s="14">
        <v>1350</v>
      </c>
      <c r="L188" s="26"/>
      <c r="M188" s="12"/>
    </row>
    <row r="189" spans="1:13" x14ac:dyDescent="0.25">
      <c r="A189" s="12">
        <v>4</v>
      </c>
      <c r="B189" s="12" t="s">
        <v>16</v>
      </c>
      <c r="C189" s="12" t="s">
        <v>434</v>
      </c>
      <c r="D189" s="12">
        <v>309793</v>
      </c>
      <c r="E189" s="12" t="s">
        <v>43</v>
      </c>
      <c r="F189" s="12" t="s">
        <v>96</v>
      </c>
      <c r="G189" s="12" t="s">
        <v>18</v>
      </c>
      <c r="H189" s="12" t="s">
        <v>19</v>
      </c>
      <c r="I189" s="13">
        <v>45993</v>
      </c>
      <c r="J189" s="13">
        <v>45999</v>
      </c>
      <c r="K189" s="14">
        <v>17000</v>
      </c>
      <c r="L189" s="26"/>
      <c r="M189" s="12"/>
    </row>
    <row r="190" spans="1:13" x14ac:dyDescent="0.25">
      <c r="A190" s="12">
        <v>5</v>
      </c>
      <c r="B190" s="12" t="s">
        <v>26</v>
      </c>
      <c r="C190" s="12" t="s">
        <v>435</v>
      </c>
      <c r="D190" s="12">
        <v>310280</v>
      </c>
      <c r="E190" s="12" t="s">
        <v>32</v>
      </c>
      <c r="F190" s="12" t="s">
        <v>207</v>
      </c>
      <c r="G190" s="12" t="s">
        <v>18</v>
      </c>
      <c r="H190" s="12" t="s">
        <v>21</v>
      </c>
      <c r="I190" s="13">
        <v>46001</v>
      </c>
      <c r="J190" s="13">
        <v>46002</v>
      </c>
      <c r="K190" s="14">
        <v>600</v>
      </c>
      <c r="L190" s="26"/>
      <c r="M190" s="12"/>
    </row>
    <row r="191" spans="1:13" x14ac:dyDescent="0.25">
      <c r="A191" s="12">
        <v>6</v>
      </c>
      <c r="B191" s="12" t="s">
        <v>22</v>
      </c>
      <c r="C191" s="12" t="s">
        <v>365</v>
      </c>
      <c r="D191" s="12">
        <v>310341</v>
      </c>
      <c r="E191" s="12" t="s">
        <v>17</v>
      </c>
      <c r="F191" s="12" t="s">
        <v>436</v>
      </c>
      <c r="G191" s="12" t="s">
        <v>20</v>
      </c>
      <c r="H191" s="12" t="s">
        <v>19</v>
      </c>
      <c r="I191" s="13">
        <v>45997</v>
      </c>
      <c r="J191" s="13">
        <v>46003</v>
      </c>
      <c r="K191" s="14">
        <v>24000</v>
      </c>
      <c r="L191" s="26"/>
      <c r="M191" s="12"/>
    </row>
    <row r="192" spans="1:13" x14ac:dyDescent="0.25">
      <c r="A192" s="12"/>
      <c r="B192" s="12"/>
      <c r="C192" s="12"/>
      <c r="D192" s="12"/>
      <c r="E192" s="12"/>
      <c r="F192" s="12"/>
      <c r="G192" s="12"/>
      <c r="H192" s="12"/>
      <c r="I192" s="13"/>
      <c r="J192" s="13"/>
      <c r="K192" s="14"/>
      <c r="L192" s="26"/>
      <c r="M192" s="12"/>
    </row>
  </sheetData>
  <autoFilter ref="A6:M191" xr:uid="{4970DE82-8210-4407-AF82-F6A22C88A0E8}"/>
  <mergeCells count="13">
    <mergeCell ref="A185:M185"/>
    <mergeCell ref="A162:M162"/>
    <mergeCell ref="A156:M156"/>
    <mergeCell ref="B3:K3"/>
    <mergeCell ref="A7:M7"/>
    <mergeCell ref="A14:M14"/>
    <mergeCell ref="A25:M25"/>
    <mergeCell ref="A47:M47"/>
    <mergeCell ref="A133:M133"/>
    <mergeCell ref="A119:M119"/>
    <mergeCell ref="A99:M99"/>
    <mergeCell ref="A83:M83"/>
    <mergeCell ref="A63:M63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B305-C1E6-4D64-95CA-DB9B60E65717}">
  <sheetPr>
    <tabColor rgb="FFFEDEF7"/>
  </sheetPr>
  <dimension ref="A1:M193"/>
  <sheetViews>
    <sheetView topLeftCell="A97" workbookViewId="0">
      <selection activeCell="B110" sqref="B110:B117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9.28515625" bestFit="1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.7109375" customWidth="1"/>
    <col min="13" max="13" width="30.5703125" customWidth="1"/>
  </cols>
  <sheetData>
    <row r="1" spans="1:13" x14ac:dyDescent="0.25">
      <c r="L1" s="1"/>
      <c r="M1" s="2"/>
    </row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  <c r="L2" s="1"/>
      <c r="M2" s="2"/>
    </row>
    <row r="3" spans="1:13" ht="18" x14ac:dyDescent="0.25">
      <c r="A3" s="1"/>
      <c r="B3" s="135" t="s">
        <v>0</v>
      </c>
      <c r="C3" s="135"/>
      <c r="D3" s="135"/>
      <c r="E3" s="135"/>
      <c r="F3" s="135"/>
      <c r="G3" s="135"/>
      <c r="H3" s="135"/>
      <c r="I3" s="135"/>
      <c r="J3" s="135"/>
      <c r="K3" s="135"/>
      <c r="L3" s="1"/>
      <c r="M3" s="2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  <c r="L4" s="1"/>
      <c r="M4" s="2"/>
    </row>
    <row r="5" spans="1:13" ht="15.75" thickBot="1" x14ac:dyDescent="0.3">
      <c r="A5" s="1"/>
      <c r="I5" s="5"/>
      <c r="L5" s="1"/>
      <c r="M5" s="2"/>
    </row>
    <row r="6" spans="1:13" ht="32.25" thickBot="1" x14ac:dyDescent="0.3">
      <c r="A6" s="6" t="s">
        <v>2</v>
      </c>
      <c r="B6" s="7" t="s">
        <v>3</v>
      </c>
      <c r="C6" s="8" t="s">
        <v>4</v>
      </c>
      <c r="D6" s="9" t="s">
        <v>5</v>
      </c>
      <c r="E6" s="9" t="s">
        <v>6</v>
      </c>
      <c r="F6" s="10" t="s">
        <v>7</v>
      </c>
      <c r="G6" s="10" t="s">
        <v>8</v>
      </c>
      <c r="H6" s="9" t="s">
        <v>9</v>
      </c>
      <c r="I6" s="10" t="s">
        <v>10</v>
      </c>
      <c r="J6" s="9" t="s">
        <v>11</v>
      </c>
      <c r="K6" s="10" t="s">
        <v>12</v>
      </c>
      <c r="L6" s="11" t="s">
        <v>13</v>
      </c>
      <c r="M6" s="11" t="s">
        <v>14</v>
      </c>
    </row>
    <row r="7" spans="1:13" ht="15.75" thickBot="1" x14ac:dyDescent="0.3">
      <c r="A7" s="132" t="s">
        <v>15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4"/>
    </row>
    <row r="8" spans="1:13" x14ac:dyDescent="0.25">
      <c r="A8" s="106">
        <v>1</v>
      </c>
      <c r="B8" s="106" t="s">
        <v>265</v>
      </c>
      <c r="C8" s="96" t="s">
        <v>446</v>
      </c>
      <c r="D8" s="96">
        <v>313918</v>
      </c>
      <c r="E8" s="106" t="s">
        <v>24</v>
      </c>
      <c r="F8" s="106" t="s">
        <v>442</v>
      </c>
      <c r="G8" s="106" t="s">
        <v>20</v>
      </c>
      <c r="H8" s="106" t="s">
        <v>19</v>
      </c>
      <c r="I8" s="107">
        <v>46045</v>
      </c>
      <c r="J8" s="107">
        <v>46046</v>
      </c>
      <c r="K8" s="108">
        <v>35000</v>
      </c>
      <c r="L8" s="109"/>
      <c r="M8" s="108"/>
    </row>
    <row r="9" spans="1:13" x14ac:dyDescent="0.25">
      <c r="A9" s="96">
        <v>2</v>
      </c>
      <c r="B9" s="96" t="s">
        <v>16</v>
      </c>
      <c r="C9" s="96" t="s">
        <v>443</v>
      </c>
      <c r="D9" s="96">
        <v>314165</v>
      </c>
      <c r="E9" s="96" t="s">
        <v>23</v>
      </c>
      <c r="F9" s="96" t="s">
        <v>445</v>
      </c>
      <c r="G9" s="96" t="s">
        <v>18</v>
      </c>
      <c r="H9" s="96" t="s">
        <v>19</v>
      </c>
      <c r="I9" s="97">
        <v>46246</v>
      </c>
      <c r="J9" s="97">
        <v>46048</v>
      </c>
      <c r="K9" s="98">
        <v>45000</v>
      </c>
      <c r="L9" s="110"/>
      <c r="M9" s="96"/>
    </row>
    <row r="10" spans="1:13" x14ac:dyDescent="0.25">
      <c r="A10" s="112">
        <v>3</v>
      </c>
      <c r="B10" s="112" t="s">
        <v>183</v>
      </c>
      <c r="C10" s="112" t="s">
        <v>447</v>
      </c>
      <c r="D10" s="112">
        <v>313761</v>
      </c>
      <c r="E10" s="112" t="s">
        <v>23</v>
      </c>
      <c r="F10" s="112" t="s">
        <v>340</v>
      </c>
      <c r="G10" s="112" t="s">
        <v>18</v>
      </c>
      <c r="H10" s="112" t="s">
        <v>19</v>
      </c>
      <c r="I10" s="113">
        <v>46041</v>
      </c>
      <c r="J10" s="113">
        <v>46049</v>
      </c>
      <c r="K10" s="114">
        <v>40000</v>
      </c>
      <c r="L10" s="115"/>
      <c r="M10" s="112"/>
    </row>
    <row r="11" spans="1:13" x14ac:dyDescent="0.25">
      <c r="A11" s="96">
        <v>4</v>
      </c>
      <c r="B11" s="96" t="s">
        <v>16</v>
      </c>
      <c r="C11" s="96" t="s">
        <v>448</v>
      </c>
      <c r="D11" s="96">
        <v>314612</v>
      </c>
      <c r="E11" s="96" t="s">
        <v>41</v>
      </c>
      <c r="F11" s="96" t="s">
        <v>452</v>
      </c>
      <c r="G11" s="96" t="s">
        <v>18</v>
      </c>
      <c r="H11" s="96" t="s">
        <v>19</v>
      </c>
      <c r="I11" s="97">
        <v>46051</v>
      </c>
      <c r="J11" s="97">
        <v>46051</v>
      </c>
      <c r="K11" s="98">
        <v>25000</v>
      </c>
      <c r="L11" s="99"/>
      <c r="M11" s="111"/>
    </row>
    <row r="12" spans="1:13" x14ac:dyDescent="0.25">
      <c r="A12" s="112">
        <v>5</v>
      </c>
      <c r="B12" s="112" t="s">
        <v>22</v>
      </c>
      <c r="C12" s="112" t="s">
        <v>450</v>
      </c>
      <c r="D12" s="112">
        <v>315038</v>
      </c>
      <c r="E12" s="112" t="s">
        <v>41</v>
      </c>
      <c r="F12" s="112" t="s">
        <v>451</v>
      </c>
      <c r="G12" s="112" t="s">
        <v>20</v>
      </c>
      <c r="H12" s="112" t="s">
        <v>19</v>
      </c>
      <c r="I12" s="113">
        <v>45502</v>
      </c>
      <c r="J12" s="113">
        <v>46053</v>
      </c>
      <c r="K12" s="114">
        <v>95000</v>
      </c>
      <c r="L12" s="115"/>
      <c r="M12" s="112"/>
    </row>
    <row r="13" spans="1:13" x14ac:dyDescent="0.25">
      <c r="A13" s="112">
        <v>6</v>
      </c>
      <c r="B13" s="112" t="s">
        <v>22</v>
      </c>
      <c r="C13" s="112" t="s">
        <v>453</v>
      </c>
      <c r="D13" s="112">
        <v>315049</v>
      </c>
      <c r="E13" s="112" t="s">
        <v>41</v>
      </c>
      <c r="F13" s="112" t="s">
        <v>451</v>
      </c>
      <c r="G13" s="112" t="s">
        <v>20</v>
      </c>
      <c r="H13" s="112" t="s">
        <v>21</v>
      </c>
      <c r="I13" s="113">
        <v>45502</v>
      </c>
      <c r="J13" s="113">
        <v>46053</v>
      </c>
      <c r="K13" s="114">
        <v>750</v>
      </c>
      <c r="L13" s="115"/>
      <c r="M13" s="116"/>
    </row>
    <row r="14" spans="1:13" x14ac:dyDescent="0.25">
      <c r="A14" s="15">
        <v>7</v>
      </c>
      <c r="B14" s="15" t="s">
        <v>22</v>
      </c>
      <c r="C14" s="15" t="s">
        <v>454</v>
      </c>
      <c r="D14" s="15">
        <v>315172</v>
      </c>
      <c r="E14" s="15" t="s">
        <v>23</v>
      </c>
      <c r="F14" s="15" t="s">
        <v>455</v>
      </c>
      <c r="G14" s="15" t="s">
        <v>18</v>
      </c>
      <c r="H14" s="15" t="s">
        <v>19</v>
      </c>
      <c r="I14" s="16">
        <v>46048</v>
      </c>
      <c r="J14" s="16">
        <v>46053</v>
      </c>
      <c r="K14" s="17">
        <v>68000</v>
      </c>
      <c r="L14" s="18"/>
      <c r="M14" s="15"/>
    </row>
    <row r="15" spans="1:13" ht="15.75" thickBot="1" x14ac:dyDescent="0.3">
      <c r="A15" s="15">
        <v>8</v>
      </c>
      <c r="B15" s="15" t="s">
        <v>16</v>
      </c>
      <c r="C15" s="15" t="s">
        <v>456</v>
      </c>
      <c r="D15" s="15">
        <v>315238</v>
      </c>
      <c r="E15" s="15" t="s">
        <v>17</v>
      </c>
      <c r="F15" s="15" t="s">
        <v>262</v>
      </c>
      <c r="G15" s="15" t="s">
        <v>18</v>
      </c>
      <c r="H15" s="15" t="s">
        <v>19</v>
      </c>
      <c r="I15" s="16">
        <v>46052</v>
      </c>
      <c r="J15" s="16">
        <v>46053</v>
      </c>
      <c r="K15" s="17">
        <v>20000</v>
      </c>
      <c r="L15" s="15"/>
      <c r="M15" s="15"/>
    </row>
    <row r="16" spans="1:13" ht="15.75" thickBot="1" x14ac:dyDescent="0.3">
      <c r="A16" s="132" t="s">
        <v>31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4"/>
    </row>
    <row r="17" spans="1:13" x14ac:dyDescent="0.25">
      <c r="A17" s="111">
        <v>1</v>
      </c>
      <c r="B17" s="111" t="s">
        <v>458</v>
      </c>
      <c r="C17" s="111" t="s">
        <v>462</v>
      </c>
      <c r="D17" s="111">
        <v>315586</v>
      </c>
      <c r="E17" s="111" t="s">
        <v>23</v>
      </c>
      <c r="F17" s="111" t="s">
        <v>185</v>
      </c>
      <c r="G17" s="111" t="s">
        <v>20</v>
      </c>
      <c r="H17" s="111" t="s">
        <v>19</v>
      </c>
      <c r="I17" s="117">
        <v>46055</v>
      </c>
      <c r="J17" s="117">
        <v>46057</v>
      </c>
      <c r="K17" s="118">
        <v>62500</v>
      </c>
      <c r="L17" s="119"/>
      <c r="M17" s="111" t="s">
        <v>459</v>
      </c>
    </row>
    <row r="18" spans="1:13" x14ac:dyDescent="0.25">
      <c r="A18" s="15">
        <v>2</v>
      </c>
      <c r="B18" s="15" t="s">
        <v>469</v>
      </c>
      <c r="C18" s="15" t="s">
        <v>470</v>
      </c>
      <c r="D18" s="15">
        <v>316190</v>
      </c>
      <c r="E18" s="15" t="s">
        <v>43</v>
      </c>
      <c r="F18" s="15" t="s">
        <v>471</v>
      </c>
      <c r="G18" s="15" t="s">
        <v>20</v>
      </c>
      <c r="H18" s="15" t="s">
        <v>19</v>
      </c>
      <c r="I18" s="16">
        <v>46055</v>
      </c>
      <c r="J18" s="16">
        <v>46063</v>
      </c>
      <c r="K18" s="17">
        <v>15000</v>
      </c>
      <c r="L18" s="15"/>
      <c r="M18" s="15"/>
    </row>
    <row r="19" spans="1:13" x14ac:dyDescent="0.25">
      <c r="A19" s="15">
        <v>3</v>
      </c>
      <c r="B19" s="15" t="s">
        <v>458</v>
      </c>
      <c r="C19" s="15" t="s">
        <v>472</v>
      </c>
      <c r="D19" s="15">
        <v>316375</v>
      </c>
      <c r="E19" s="15" t="s">
        <v>23</v>
      </c>
      <c r="F19" s="15" t="s">
        <v>214</v>
      </c>
      <c r="G19" s="15" t="s">
        <v>20</v>
      </c>
      <c r="H19" s="15" t="s">
        <v>19</v>
      </c>
      <c r="I19" s="16">
        <v>46060</v>
      </c>
      <c r="J19" s="16">
        <v>46064</v>
      </c>
      <c r="K19" s="17">
        <v>85000</v>
      </c>
      <c r="L19" s="15"/>
      <c r="M19" s="15"/>
    </row>
    <row r="20" spans="1:13" x14ac:dyDescent="0.25">
      <c r="A20" s="120">
        <v>4</v>
      </c>
      <c r="B20" s="120" t="s">
        <v>469</v>
      </c>
      <c r="C20" s="120" t="s">
        <v>473</v>
      </c>
      <c r="D20" s="121">
        <v>316567</v>
      </c>
      <c r="E20" s="120" t="s">
        <v>17</v>
      </c>
      <c r="F20" s="120" t="s">
        <v>474</v>
      </c>
      <c r="G20" s="120" t="s">
        <v>20</v>
      </c>
      <c r="H20" s="120" t="s">
        <v>19</v>
      </c>
      <c r="I20" s="113">
        <v>46064</v>
      </c>
      <c r="J20" s="113">
        <v>46064</v>
      </c>
      <c r="K20" s="114">
        <v>28500</v>
      </c>
      <c r="L20" s="122"/>
      <c r="M20" s="114"/>
    </row>
    <row r="21" spans="1:13" x14ac:dyDescent="0.25">
      <c r="A21" s="12">
        <v>5</v>
      </c>
      <c r="B21" s="12" t="s">
        <v>458</v>
      </c>
      <c r="C21" s="12" t="s">
        <v>475</v>
      </c>
      <c r="D21" s="12">
        <v>316559</v>
      </c>
      <c r="E21" s="12" t="s">
        <v>24</v>
      </c>
      <c r="F21" s="12" t="s">
        <v>476</v>
      </c>
      <c r="G21" s="12" t="s">
        <v>20</v>
      </c>
      <c r="H21" s="12" t="s">
        <v>19</v>
      </c>
      <c r="I21" s="13">
        <v>46060</v>
      </c>
      <c r="J21" s="13">
        <v>46064</v>
      </c>
      <c r="K21" s="14">
        <v>48000</v>
      </c>
      <c r="L21" s="42"/>
      <c r="M21" s="12"/>
    </row>
    <row r="22" spans="1:13" x14ac:dyDescent="0.25">
      <c r="A22" s="12">
        <v>6</v>
      </c>
      <c r="B22" s="12" t="s">
        <v>16</v>
      </c>
      <c r="C22" s="12" t="s">
        <v>477</v>
      </c>
      <c r="D22" s="12">
        <v>316583</v>
      </c>
      <c r="E22" s="12" t="s">
        <v>24</v>
      </c>
      <c r="F22" s="12" t="s">
        <v>478</v>
      </c>
      <c r="G22" s="12" t="s">
        <v>20</v>
      </c>
      <c r="H22" s="12" t="s">
        <v>19</v>
      </c>
      <c r="I22" s="13">
        <v>46057</v>
      </c>
      <c r="J22" s="13">
        <v>46064</v>
      </c>
      <c r="K22" s="14">
        <v>75000</v>
      </c>
      <c r="L22" s="26"/>
      <c r="M22" s="12"/>
    </row>
    <row r="23" spans="1:13" x14ac:dyDescent="0.25">
      <c r="A23" s="12">
        <v>7</v>
      </c>
      <c r="B23" s="12" t="s">
        <v>16</v>
      </c>
      <c r="C23" s="12" t="s">
        <v>479</v>
      </c>
      <c r="D23" s="12">
        <v>316534</v>
      </c>
      <c r="E23" s="12" t="s">
        <v>17</v>
      </c>
      <c r="F23" s="12" t="s">
        <v>168</v>
      </c>
      <c r="G23" s="12" t="s">
        <v>20</v>
      </c>
      <c r="H23" s="12" t="s">
        <v>19</v>
      </c>
      <c r="I23" s="13">
        <v>46060</v>
      </c>
      <c r="J23" s="13">
        <v>46064</v>
      </c>
      <c r="K23" s="14">
        <v>40000</v>
      </c>
      <c r="L23" s="26"/>
      <c r="M23" s="12"/>
    </row>
    <row r="24" spans="1:13" x14ac:dyDescent="0.25">
      <c r="A24" s="12">
        <v>8</v>
      </c>
      <c r="B24" s="12" t="s">
        <v>16</v>
      </c>
      <c r="C24" s="12" t="s">
        <v>480</v>
      </c>
      <c r="D24" s="12">
        <v>316518</v>
      </c>
      <c r="E24" s="12" t="s">
        <v>17</v>
      </c>
      <c r="F24" s="12" t="s">
        <v>481</v>
      </c>
      <c r="G24" s="12" t="s">
        <v>20</v>
      </c>
      <c r="H24" s="12" t="s">
        <v>19</v>
      </c>
      <c r="I24" s="13">
        <v>46060</v>
      </c>
      <c r="J24" s="13">
        <v>46064</v>
      </c>
      <c r="K24" s="14">
        <v>60000</v>
      </c>
      <c r="L24" s="26" t="s">
        <v>482</v>
      </c>
      <c r="M24" s="12"/>
    </row>
    <row r="25" spans="1:13" x14ac:dyDescent="0.25">
      <c r="A25" s="12">
        <v>9</v>
      </c>
      <c r="B25" s="12" t="s">
        <v>458</v>
      </c>
      <c r="C25" s="12" t="s">
        <v>485</v>
      </c>
      <c r="D25" s="12">
        <v>316910</v>
      </c>
      <c r="E25" s="12" t="s">
        <v>17</v>
      </c>
      <c r="F25" s="12" t="s">
        <v>486</v>
      </c>
      <c r="G25" s="12" t="s">
        <v>18</v>
      </c>
      <c r="H25" s="12" t="s">
        <v>19</v>
      </c>
      <c r="I25" s="13" t="s">
        <v>487</v>
      </c>
      <c r="J25" s="13">
        <v>46067</v>
      </c>
      <c r="K25" s="14">
        <v>48000</v>
      </c>
      <c r="L25" s="26"/>
      <c r="M25" s="12"/>
    </row>
    <row r="26" spans="1:13" x14ac:dyDescent="0.25">
      <c r="A26" s="112">
        <v>10</v>
      </c>
      <c r="B26" s="112" t="s">
        <v>265</v>
      </c>
      <c r="C26" s="112" t="s">
        <v>488</v>
      </c>
      <c r="D26" s="112">
        <v>316968</v>
      </c>
      <c r="E26" s="112" t="s">
        <v>41</v>
      </c>
      <c r="F26" s="112" t="s">
        <v>489</v>
      </c>
      <c r="G26" s="112" t="s">
        <v>18</v>
      </c>
      <c r="H26" s="112" t="s">
        <v>19</v>
      </c>
      <c r="I26" s="113">
        <v>46066</v>
      </c>
      <c r="J26" s="113">
        <v>46067</v>
      </c>
      <c r="K26" s="114">
        <v>35000</v>
      </c>
      <c r="L26" s="115"/>
      <c r="M26" s="112"/>
    </row>
    <row r="27" spans="1:13" x14ac:dyDescent="0.25">
      <c r="A27" s="12">
        <v>11</v>
      </c>
      <c r="B27" s="12" t="s">
        <v>469</v>
      </c>
      <c r="C27" s="12" t="s">
        <v>505</v>
      </c>
      <c r="D27" s="12">
        <v>317103</v>
      </c>
      <c r="E27" s="12" t="s">
        <v>51</v>
      </c>
      <c r="F27" s="12" t="s">
        <v>511</v>
      </c>
      <c r="G27" s="12" t="s">
        <v>18</v>
      </c>
      <c r="H27" s="12" t="s">
        <v>19</v>
      </c>
      <c r="I27" s="13">
        <v>46071</v>
      </c>
      <c r="J27" s="13">
        <v>46072</v>
      </c>
      <c r="K27" s="14">
        <v>25000</v>
      </c>
      <c r="L27" s="26" t="s">
        <v>67</v>
      </c>
      <c r="M27" s="12"/>
    </row>
    <row r="28" spans="1:13" x14ac:dyDescent="0.25">
      <c r="A28" s="12">
        <v>12</v>
      </c>
      <c r="B28" s="12" t="s">
        <v>265</v>
      </c>
      <c r="C28" s="12" t="s">
        <v>506</v>
      </c>
      <c r="D28" s="12">
        <v>317324</v>
      </c>
      <c r="E28" s="12" t="s">
        <v>150</v>
      </c>
      <c r="F28" s="12" t="s">
        <v>207</v>
      </c>
      <c r="G28" s="12" t="s">
        <v>18</v>
      </c>
      <c r="H28" s="12" t="s">
        <v>21</v>
      </c>
      <c r="I28" s="13">
        <v>46072</v>
      </c>
      <c r="J28" s="13">
        <v>46072</v>
      </c>
      <c r="K28" s="14">
        <v>100</v>
      </c>
      <c r="L28" s="26"/>
      <c r="M28" s="12"/>
    </row>
    <row r="29" spans="1:13" x14ac:dyDescent="0.25">
      <c r="A29" s="112">
        <v>13</v>
      </c>
      <c r="B29" s="112" t="s">
        <v>16</v>
      </c>
      <c r="C29" s="112" t="s">
        <v>507</v>
      </c>
      <c r="D29" s="112">
        <v>317320</v>
      </c>
      <c r="E29" s="112" t="s">
        <v>23</v>
      </c>
      <c r="F29" s="112" t="s">
        <v>514</v>
      </c>
      <c r="G29" s="112"/>
      <c r="H29" s="112"/>
      <c r="I29" s="113">
        <v>46064</v>
      </c>
      <c r="J29" s="113">
        <v>46072</v>
      </c>
      <c r="K29" s="114">
        <v>39700</v>
      </c>
      <c r="L29" s="115"/>
      <c r="M29" s="112"/>
    </row>
    <row r="30" spans="1:13" x14ac:dyDescent="0.25">
      <c r="A30" s="112">
        <v>14</v>
      </c>
      <c r="B30" s="112" t="s">
        <v>458</v>
      </c>
      <c r="C30" s="112" t="s">
        <v>508</v>
      </c>
      <c r="D30" s="112">
        <v>318522</v>
      </c>
      <c r="E30" s="112" t="s">
        <v>17</v>
      </c>
      <c r="F30" s="112" t="s">
        <v>512</v>
      </c>
      <c r="G30" s="112" t="s">
        <v>20</v>
      </c>
      <c r="H30" s="112" t="s">
        <v>19</v>
      </c>
      <c r="I30" s="113">
        <v>46079</v>
      </c>
      <c r="J30" s="113">
        <v>46080</v>
      </c>
      <c r="K30" s="114">
        <v>115000</v>
      </c>
      <c r="L30" s="115"/>
      <c r="M30" s="112"/>
    </row>
    <row r="31" spans="1:13" x14ac:dyDescent="0.25">
      <c r="A31" s="12">
        <v>15</v>
      </c>
      <c r="B31" s="12" t="s">
        <v>22</v>
      </c>
      <c r="C31" s="12" t="s">
        <v>509</v>
      </c>
      <c r="D31" s="12">
        <v>318555</v>
      </c>
      <c r="E31" s="12" t="s">
        <v>41</v>
      </c>
      <c r="F31" s="12" t="s">
        <v>56</v>
      </c>
      <c r="G31" s="12" t="s">
        <v>20</v>
      </c>
      <c r="H31" s="12" t="s">
        <v>21</v>
      </c>
      <c r="I31" s="13">
        <v>46080</v>
      </c>
      <c r="J31" s="13">
        <v>46080</v>
      </c>
      <c r="K31" s="14">
        <v>175</v>
      </c>
      <c r="L31" s="26"/>
      <c r="M31" s="12"/>
    </row>
    <row r="32" spans="1:13" x14ac:dyDescent="0.25">
      <c r="A32" s="12">
        <v>16</v>
      </c>
      <c r="B32" s="12" t="s">
        <v>22</v>
      </c>
      <c r="C32" s="12" t="s">
        <v>510</v>
      </c>
      <c r="D32" s="12">
        <v>318557</v>
      </c>
      <c r="E32" s="12" t="s">
        <v>41</v>
      </c>
      <c r="F32" s="12" t="s">
        <v>56</v>
      </c>
      <c r="G32" s="12" t="s">
        <v>20</v>
      </c>
      <c r="H32" s="12" t="s">
        <v>21</v>
      </c>
      <c r="I32" s="13">
        <v>46080</v>
      </c>
      <c r="J32" s="13">
        <v>46080</v>
      </c>
      <c r="K32" s="14">
        <v>175</v>
      </c>
      <c r="L32" s="26"/>
      <c r="M32" s="12"/>
    </row>
    <row r="33" spans="1:13" ht="15.75" thickBot="1" x14ac:dyDescent="0.3">
      <c r="A33" s="12">
        <v>17</v>
      </c>
      <c r="B33" s="12" t="s">
        <v>16</v>
      </c>
      <c r="C33" s="12" t="s">
        <v>504</v>
      </c>
      <c r="D33" s="12">
        <v>318595</v>
      </c>
      <c r="E33" s="12" t="s">
        <v>17</v>
      </c>
      <c r="F33" s="12" t="s">
        <v>503</v>
      </c>
      <c r="G33" s="12" t="s">
        <v>18</v>
      </c>
      <c r="H33" s="12" t="s">
        <v>19</v>
      </c>
      <c r="I33" s="13">
        <v>46080</v>
      </c>
      <c r="J33" s="13">
        <v>46080</v>
      </c>
      <c r="K33" s="14">
        <v>30000</v>
      </c>
      <c r="L33" s="24"/>
      <c r="M33" s="24"/>
    </row>
    <row r="34" spans="1:13" ht="15.75" thickBot="1" x14ac:dyDescent="0.3">
      <c r="A34" s="132" t="s">
        <v>33</v>
      </c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4"/>
    </row>
    <row r="35" spans="1:13" x14ac:dyDescent="0.25">
      <c r="A35" s="112">
        <v>1</v>
      </c>
      <c r="B35" s="116" t="s">
        <v>458</v>
      </c>
      <c r="C35" s="116" t="s">
        <v>502</v>
      </c>
      <c r="D35" s="116">
        <v>318807</v>
      </c>
      <c r="E35" s="116" t="s">
        <v>17</v>
      </c>
      <c r="F35" s="116" t="s">
        <v>501</v>
      </c>
      <c r="G35" s="116" t="s">
        <v>20</v>
      </c>
      <c r="H35" s="116" t="s">
        <v>21</v>
      </c>
      <c r="I35" s="123">
        <v>46080</v>
      </c>
      <c r="J35" s="123">
        <v>46083</v>
      </c>
      <c r="K35" s="124">
        <v>330</v>
      </c>
      <c r="L35" s="125"/>
      <c r="M35" s="116"/>
    </row>
    <row r="36" spans="1:13" x14ac:dyDescent="0.25">
      <c r="A36" s="96">
        <v>2</v>
      </c>
      <c r="B36" s="96" t="s">
        <v>469</v>
      </c>
      <c r="C36" s="96" t="s">
        <v>499</v>
      </c>
      <c r="D36" s="96">
        <v>319345</v>
      </c>
      <c r="E36" s="96" t="s">
        <v>17</v>
      </c>
      <c r="F36" s="96" t="s">
        <v>500</v>
      </c>
      <c r="G36" s="96" t="s">
        <v>20</v>
      </c>
      <c r="H36" s="96" t="s">
        <v>19</v>
      </c>
      <c r="I36" s="97">
        <v>46086</v>
      </c>
      <c r="J36" s="97">
        <v>46086</v>
      </c>
      <c r="K36" s="98">
        <v>18000</v>
      </c>
      <c r="L36" s="99"/>
      <c r="M36" s="96"/>
    </row>
    <row r="37" spans="1:13" x14ac:dyDescent="0.25">
      <c r="A37" s="112">
        <v>3</v>
      </c>
      <c r="B37" s="112" t="s">
        <v>458</v>
      </c>
      <c r="C37" s="112" t="s">
        <v>496</v>
      </c>
      <c r="D37" s="112">
        <v>319433</v>
      </c>
      <c r="E37" s="112" t="s">
        <v>17</v>
      </c>
      <c r="F37" s="112" t="s">
        <v>495</v>
      </c>
      <c r="G37" s="112" t="s">
        <v>20</v>
      </c>
      <c r="H37" s="112" t="s">
        <v>19</v>
      </c>
      <c r="I37" s="113">
        <v>46085</v>
      </c>
      <c r="J37" s="113">
        <v>46087</v>
      </c>
      <c r="K37" s="114">
        <v>25000</v>
      </c>
      <c r="L37" s="115"/>
      <c r="M37" s="112"/>
    </row>
    <row r="38" spans="1:13" x14ac:dyDescent="0.25">
      <c r="A38" s="96">
        <v>4</v>
      </c>
      <c r="B38" s="96" t="s">
        <v>469</v>
      </c>
      <c r="C38" s="96" t="s">
        <v>515</v>
      </c>
      <c r="D38" s="96">
        <v>319669</v>
      </c>
      <c r="E38" s="96" t="s">
        <v>17</v>
      </c>
      <c r="F38" s="96" t="s">
        <v>100</v>
      </c>
      <c r="G38" s="96" t="s">
        <v>18</v>
      </c>
      <c r="H38" s="96" t="s">
        <v>19</v>
      </c>
      <c r="I38" s="97">
        <v>46090</v>
      </c>
      <c r="J38" s="97">
        <v>46092</v>
      </c>
      <c r="K38" s="98">
        <v>19000</v>
      </c>
      <c r="L38" s="99"/>
      <c r="M38" s="96"/>
    </row>
    <row r="39" spans="1:13" x14ac:dyDescent="0.25">
      <c r="A39" s="112">
        <v>5</v>
      </c>
      <c r="B39" s="112" t="s">
        <v>469</v>
      </c>
      <c r="C39" s="112" t="s">
        <v>498</v>
      </c>
      <c r="D39" s="112">
        <v>319685</v>
      </c>
      <c r="E39" s="112" t="s">
        <v>24</v>
      </c>
      <c r="F39" s="112" t="s">
        <v>278</v>
      </c>
      <c r="G39" s="112" t="s">
        <v>18</v>
      </c>
      <c r="H39" s="112" t="s">
        <v>19</v>
      </c>
      <c r="I39" s="113">
        <v>46090</v>
      </c>
      <c r="J39" s="113">
        <v>46092</v>
      </c>
      <c r="K39" s="114">
        <v>55000</v>
      </c>
      <c r="L39" s="115"/>
      <c r="M39" s="112"/>
    </row>
    <row r="40" spans="1:13" x14ac:dyDescent="0.25">
      <c r="A40" s="12">
        <v>6</v>
      </c>
      <c r="B40" s="12" t="s">
        <v>16</v>
      </c>
      <c r="C40" s="12" t="s">
        <v>497</v>
      </c>
      <c r="D40" s="12">
        <v>319925</v>
      </c>
      <c r="E40" s="12" t="s">
        <v>17</v>
      </c>
      <c r="F40" s="12" t="s">
        <v>29</v>
      </c>
      <c r="G40" s="12" t="s">
        <v>18</v>
      </c>
      <c r="H40" s="12" t="s">
        <v>19</v>
      </c>
      <c r="I40" s="13">
        <v>46091</v>
      </c>
      <c r="J40" s="13">
        <v>46092</v>
      </c>
      <c r="K40" s="14">
        <v>42000</v>
      </c>
      <c r="L40" s="26"/>
      <c r="M40" s="12"/>
    </row>
    <row r="41" spans="1:13" ht="14.25" customHeight="1" x14ac:dyDescent="0.25">
      <c r="A41" s="96">
        <v>7</v>
      </c>
      <c r="B41" s="96" t="s">
        <v>458</v>
      </c>
      <c r="C41" s="96" t="s">
        <v>494</v>
      </c>
      <c r="D41" s="96">
        <v>320157</v>
      </c>
      <c r="E41" s="96" t="s">
        <v>32</v>
      </c>
      <c r="F41" s="96" t="s">
        <v>119</v>
      </c>
      <c r="G41" s="96" t="s">
        <v>20</v>
      </c>
      <c r="H41" s="96" t="s">
        <v>19</v>
      </c>
      <c r="I41" s="97">
        <v>46092</v>
      </c>
      <c r="J41" s="97">
        <v>46093</v>
      </c>
      <c r="K41" s="98">
        <v>33000</v>
      </c>
      <c r="L41" s="99"/>
      <c r="M41" s="96"/>
    </row>
    <row r="42" spans="1:13" x14ac:dyDescent="0.25">
      <c r="A42" s="12">
        <v>8</v>
      </c>
      <c r="B42" s="12" t="s">
        <v>22</v>
      </c>
      <c r="C42" s="12" t="s">
        <v>492</v>
      </c>
      <c r="D42" s="12">
        <v>320338</v>
      </c>
      <c r="E42" s="12" t="s">
        <v>24</v>
      </c>
      <c r="F42" s="12" t="s">
        <v>170</v>
      </c>
      <c r="G42" s="12" t="s">
        <v>20</v>
      </c>
      <c r="H42" s="12" t="s">
        <v>19</v>
      </c>
      <c r="I42" s="13">
        <v>46092</v>
      </c>
      <c r="J42" s="13">
        <v>46094</v>
      </c>
      <c r="K42" s="14">
        <v>63000</v>
      </c>
      <c r="L42" s="42"/>
      <c r="M42" s="12"/>
    </row>
    <row r="43" spans="1:13" x14ac:dyDescent="0.25">
      <c r="A43" s="12">
        <v>9</v>
      </c>
      <c r="B43" s="12" t="s">
        <v>16</v>
      </c>
      <c r="C43" s="12" t="s">
        <v>516</v>
      </c>
      <c r="D43" s="15">
        <v>320446</v>
      </c>
      <c r="E43" s="15" t="s">
        <v>17</v>
      </c>
      <c r="F43" s="15" t="s">
        <v>517</v>
      </c>
      <c r="G43" s="15" t="s">
        <v>18</v>
      </c>
      <c r="H43" s="15" t="s">
        <v>19</v>
      </c>
      <c r="I43" s="16">
        <v>46091</v>
      </c>
      <c r="J43" s="16">
        <v>46098</v>
      </c>
      <c r="K43" s="17">
        <v>27000</v>
      </c>
      <c r="L43" s="26"/>
      <c r="M43" s="12"/>
    </row>
    <row r="44" spans="1:13" x14ac:dyDescent="0.25">
      <c r="A44" s="12">
        <v>10</v>
      </c>
      <c r="B44" s="12" t="s">
        <v>16</v>
      </c>
      <c r="C44" s="12" t="s">
        <v>493</v>
      </c>
      <c r="D44" s="12">
        <v>320442</v>
      </c>
      <c r="E44" s="12" t="s">
        <v>17</v>
      </c>
      <c r="F44" s="12" t="s">
        <v>491</v>
      </c>
      <c r="G44" s="12" t="s">
        <v>18</v>
      </c>
      <c r="H44" s="12" t="s">
        <v>19</v>
      </c>
      <c r="I44" s="13">
        <v>46091</v>
      </c>
      <c r="J44" s="13">
        <v>46098</v>
      </c>
      <c r="K44" s="14">
        <v>32000</v>
      </c>
      <c r="L44" s="42" t="s">
        <v>538</v>
      </c>
      <c r="M44" s="14"/>
    </row>
    <row r="45" spans="1:13" x14ac:dyDescent="0.25">
      <c r="A45" s="12">
        <v>11</v>
      </c>
      <c r="B45" s="12" t="s">
        <v>22</v>
      </c>
      <c r="C45" s="12" t="s">
        <v>527</v>
      </c>
      <c r="D45" s="15">
        <v>321677</v>
      </c>
      <c r="E45" s="12" t="s">
        <v>32</v>
      </c>
      <c r="F45" s="15" t="s">
        <v>532</v>
      </c>
      <c r="G45" s="15" t="s">
        <v>20</v>
      </c>
      <c r="H45" s="15" t="s">
        <v>21</v>
      </c>
      <c r="I45" s="16">
        <v>46090</v>
      </c>
      <c r="J45" s="16">
        <v>46106</v>
      </c>
      <c r="K45" s="17">
        <v>240</v>
      </c>
      <c r="L45" s="25"/>
      <c r="M45" s="15"/>
    </row>
    <row r="46" spans="1:13" x14ac:dyDescent="0.25">
      <c r="A46" s="12">
        <v>12</v>
      </c>
      <c r="B46" s="12" t="s">
        <v>22</v>
      </c>
      <c r="C46" s="12" t="s">
        <v>528</v>
      </c>
      <c r="D46" s="15">
        <v>321679</v>
      </c>
      <c r="E46" s="12" t="s">
        <v>32</v>
      </c>
      <c r="F46" s="15" t="s">
        <v>532</v>
      </c>
      <c r="G46" s="15" t="s">
        <v>20</v>
      </c>
      <c r="H46" s="15" t="s">
        <v>21</v>
      </c>
      <c r="I46" s="16">
        <v>46090</v>
      </c>
      <c r="J46" s="16">
        <v>46106</v>
      </c>
      <c r="K46" s="17">
        <v>350</v>
      </c>
      <c r="L46" s="25"/>
      <c r="M46" s="15"/>
    </row>
    <row r="47" spans="1:13" x14ac:dyDescent="0.25">
      <c r="A47" s="12">
        <v>13</v>
      </c>
      <c r="B47" s="12" t="s">
        <v>22</v>
      </c>
      <c r="C47" s="12" t="s">
        <v>529</v>
      </c>
      <c r="D47" s="12">
        <v>321684</v>
      </c>
      <c r="E47" s="12" t="s">
        <v>32</v>
      </c>
      <c r="F47" s="15" t="s">
        <v>532</v>
      </c>
      <c r="G47" s="15" t="s">
        <v>20</v>
      </c>
      <c r="H47" s="15" t="s">
        <v>21</v>
      </c>
      <c r="I47" s="16">
        <v>46090</v>
      </c>
      <c r="J47" s="16">
        <v>46106</v>
      </c>
      <c r="K47" s="14">
        <v>300</v>
      </c>
      <c r="L47" s="26"/>
      <c r="M47" s="12"/>
    </row>
    <row r="48" spans="1:13" x14ac:dyDescent="0.25">
      <c r="A48" s="12">
        <v>14</v>
      </c>
      <c r="B48" s="12" t="s">
        <v>22</v>
      </c>
      <c r="C48" s="12" t="s">
        <v>530</v>
      </c>
      <c r="D48" s="15">
        <v>321689</v>
      </c>
      <c r="E48" s="12" t="s">
        <v>32</v>
      </c>
      <c r="F48" s="15" t="s">
        <v>532</v>
      </c>
      <c r="G48" s="15" t="s">
        <v>20</v>
      </c>
      <c r="H48" s="15" t="s">
        <v>21</v>
      </c>
      <c r="I48" s="16">
        <v>46090</v>
      </c>
      <c r="J48" s="16">
        <v>46106</v>
      </c>
      <c r="K48" s="17">
        <v>300</v>
      </c>
      <c r="L48" s="25"/>
      <c r="M48" s="15"/>
    </row>
    <row r="49" spans="1:13" x14ac:dyDescent="0.25">
      <c r="A49" s="12">
        <v>15</v>
      </c>
      <c r="B49" s="12" t="s">
        <v>22</v>
      </c>
      <c r="C49" s="12" t="s">
        <v>531</v>
      </c>
      <c r="D49" s="15">
        <v>321695</v>
      </c>
      <c r="E49" s="12" t="s">
        <v>32</v>
      </c>
      <c r="F49" s="15" t="s">
        <v>532</v>
      </c>
      <c r="G49" s="15" t="s">
        <v>20</v>
      </c>
      <c r="H49" s="15" t="s">
        <v>21</v>
      </c>
      <c r="I49" s="16">
        <v>46090</v>
      </c>
      <c r="J49" s="16">
        <v>46106</v>
      </c>
      <c r="K49" s="17">
        <v>300</v>
      </c>
      <c r="L49" s="25"/>
      <c r="M49" s="15"/>
    </row>
    <row r="50" spans="1:13" x14ac:dyDescent="0.25">
      <c r="A50" s="12">
        <v>16</v>
      </c>
      <c r="B50" s="15" t="s">
        <v>16</v>
      </c>
      <c r="C50" s="15" t="s">
        <v>533</v>
      </c>
      <c r="D50" s="15">
        <v>321806</v>
      </c>
      <c r="E50" s="15" t="s">
        <v>24</v>
      </c>
      <c r="F50" s="15" t="s">
        <v>534</v>
      </c>
      <c r="G50" s="15" t="s">
        <v>20</v>
      </c>
      <c r="H50" s="15" t="s">
        <v>19</v>
      </c>
      <c r="I50" s="16">
        <v>46105</v>
      </c>
      <c r="J50" s="16">
        <v>46106</v>
      </c>
      <c r="K50" s="17">
        <v>180000</v>
      </c>
      <c r="L50" s="25"/>
      <c r="M50" s="15"/>
    </row>
    <row r="51" spans="1:13" x14ac:dyDescent="0.25">
      <c r="A51" s="12">
        <v>17</v>
      </c>
      <c r="B51" s="15" t="s">
        <v>16</v>
      </c>
      <c r="C51" s="15" t="s">
        <v>535</v>
      </c>
      <c r="D51" s="15">
        <v>321850</v>
      </c>
      <c r="E51" s="15" t="s">
        <v>17</v>
      </c>
      <c r="F51" s="15" t="s">
        <v>536</v>
      </c>
      <c r="G51" s="15" t="s">
        <v>20</v>
      </c>
      <c r="H51" s="15" t="s">
        <v>19</v>
      </c>
      <c r="I51" s="16">
        <v>46105</v>
      </c>
      <c r="J51" s="16">
        <v>46106</v>
      </c>
      <c r="K51" s="17">
        <v>32000</v>
      </c>
      <c r="L51" s="25" t="s">
        <v>537</v>
      </c>
      <c r="M51" s="15"/>
    </row>
    <row r="52" spans="1:13" x14ac:dyDescent="0.25">
      <c r="A52" s="12">
        <v>18</v>
      </c>
      <c r="B52" s="15" t="s">
        <v>16</v>
      </c>
      <c r="C52" s="15" t="s">
        <v>539</v>
      </c>
      <c r="D52" s="15">
        <v>321966</v>
      </c>
      <c r="E52" s="15" t="s">
        <v>24</v>
      </c>
      <c r="F52" s="15" t="s">
        <v>340</v>
      </c>
      <c r="G52" s="15" t="s">
        <v>20</v>
      </c>
      <c r="H52" s="15" t="s">
        <v>19</v>
      </c>
      <c r="I52" s="16">
        <v>46106</v>
      </c>
      <c r="J52" s="16">
        <v>46107</v>
      </c>
      <c r="K52" s="17">
        <v>68000</v>
      </c>
      <c r="L52" s="25" t="s">
        <v>120</v>
      </c>
      <c r="M52" s="15"/>
    </row>
    <row r="53" spans="1:13" x14ac:dyDescent="0.25">
      <c r="A53" s="12">
        <v>19</v>
      </c>
      <c r="B53" s="15" t="s">
        <v>22</v>
      </c>
      <c r="C53" s="15" t="s">
        <v>540</v>
      </c>
      <c r="D53" s="15">
        <v>322075</v>
      </c>
      <c r="E53" s="15" t="s">
        <v>41</v>
      </c>
      <c r="F53" s="15" t="s">
        <v>541</v>
      </c>
      <c r="G53" s="15" t="s">
        <v>18</v>
      </c>
      <c r="H53" s="15" t="s">
        <v>21</v>
      </c>
      <c r="I53" s="16">
        <v>46106</v>
      </c>
      <c r="J53" s="16">
        <v>46108</v>
      </c>
      <c r="K53" s="17">
        <v>300</v>
      </c>
      <c r="L53" s="25" t="s">
        <v>67</v>
      </c>
      <c r="M53" s="15"/>
    </row>
    <row r="54" spans="1:13" x14ac:dyDescent="0.25">
      <c r="A54" s="111">
        <v>20</v>
      </c>
      <c r="B54" s="111" t="s">
        <v>16</v>
      </c>
      <c r="C54" s="111" t="s">
        <v>542</v>
      </c>
      <c r="D54" s="111">
        <v>322195</v>
      </c>
      <c r="E54" s="111" t="s">
        <v>17</v>
      </c>
      <c r="F54" s="111" t="s">
        <v>543</v>
      </c>
      <c r="G54" s="111" t="s">
        <v>18</v>
      </c>
      <c r="H54" s="111" t="s">
        <v>19</v>
      </c>
      <c r="I54" s="117">
        <v>46108</v>
      </c>
      <c r="J54" s="117">
        <v>46111</v>
      </c>
      <c r="K54" s="118">
        <v>29000</v>
      </c>
      <c r="L54" s="126"/>
      <c r="M54" s="111"/>
    </row>
    <row r="55" spans="1:13" x14ac:dyDescent="0.25">
      <c r="A55" s="15">
        <v>21</v>
      </c>
      <c r="B55" s="15" t="s">
        <v>265</v>
      </c>
      <c r="C55" s="15" t="s">
        <v>544</v>
      </c>
      <c r="D55" s="15">
        <v>322558</v>
      </c>
      <c r="E55" s="15" t="s">
        <v>41</v>
      </c>
      <c r="F55" s="15" t="s">
        <v>30</v>
      </c>
      <c r="G55" s="15" t="s">
        <v>18</v>
      </c>
      <c r="H55" s="15" t="s">
        <v>19</v>
      </c>
      <c r="I55" s="16">
        <v>45712</v>
      </c>
      <c r="J55" s="16">
        <v>46112</v>
      </c>
      <c r="K55" s="17">
        <v>105000</v>
      </c>
      <c r="L55" s="25" t="str">
        <f>+L53</f>
        <v>Delta - Luis León</v>
      </c>
      <c r="M55" s="15"/>
    </row>
    <row r="56" spans="1:13" ht="15.75" thickBot="1" x14ac:dyDescent="0.3">
      <c r="A56" s="111">
        <v>22</v>
      </c>
      <c r="B56" s="111" t="s">
        <v>265</v>
      </c>
      <c r="C56" s="111" t="s">
        <v>545</v>
      </c>
      <c r="D56" s="111">
        <v>322637</v>
      </c>
      <c r="E56" s="111" t="s">
        <v>17</v>
      </c>
      <c r="F56" s="111" t="s">
        <v>546</v>
      </c>
      <c r="G56" s="111" t="s">
        <v>18</v>
      </c>
      <c r="H56" s="111" t="s">
        <v>19</v>
      </c>
      <c r="I56" s="117">
        <v>46111</v>
      </c>
      <c r="J56" s="117">
        <v>46112</v>
      </c>
      <c r="K56" s="118">
        <v>24600</v>
      </c>
      <c r="L56" s="126"/>
      <c r="M56" s="111"/>
    </row>
    <row r="57" spans="1:13" ht="15.75" thickBot="1" x14ac:dyDescent="0.3">
      <c r="A57" s="132" t="s">
        <v>35</v>
      </c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4"/>
    </row>
    <row r="58" spans="1:13" x14ac:dyDescent="0.25">
      <c r="A58" s="12">
        <v>1</v>
      </c>
      <c r="B58" s="12" t="s">
        <v>469</v>
      </c>
      <c r="C58" s="15" t="s">
        <v>547</v>
      </c>
      <c r="D58" s="12">
        <v>323234</v>
      </c>
      <c r="E58" s="12" t="s">
        <v>17</v>
      </c>
      <c r="F58" s="12" t="s">
        <v>548</v>
      </c>
      <c r="G58" s="12" t="s">
        <v>20</v>
      </c>
      <c r="H58" s="12" t="s">
        <v>19</v>
      </c>
      <c r="I58" s="13">
        <v>46120</v>
      </c>
      <c r="J58" s="13">
        <v>46120</v>
      </c>
      <c r="K58" s="14">
        <v>42000</v>
      </c>
      <c r="L58" s="42"/>
      <c r="M58" s="14"/>
    </row>
    <row r="59" spans="1:13" x14ac:dyDescent="0.25">
      <c r="A59" s="12">
        <v>2</v>
      </c>
      <c r="B59" s="12" t="s">
        <v>549</v>
      </c>
      <c r="C59" s="12" t="s">
        <v>550</v>
      </c>
      <c r="D59" s="12">
        <v>323240</v>
      </c>
      <c r="E59" s="12" t="s">
        <v>17</v>
      </c>
      <c r="F59" s="12" t="s">
        <v>551</v>
      </c>
      <c r="G59" s="12" t="s">
        <v>20</v>
      </c>
      <c r="H59" s="12" t="s">
        <v>19</v>
      </c>
      <c r="I59" s="13">
        <v>46119</v>
      </c>
      <c r="J59" s="13">
        <v>46120</v>
      </c>
      <c r="K59" s="14">
        <v>37000</v>
      </c>
      <c r="L59" s="42" t="s">
        <v>552</v>
      </c>
      <c r="M59" s="12"/>
    </row>
    <row r="60" spans="1:13" x14ac:dyDescent="0.25">
      <c r="A60" s="12">
        <v>3</v>
      </c>
      <c r="B60" s="12" t="s">
        <v>22</v>
      </c>
      <c r="C60" s="12" t="s">
        <v>553</v>
      </c>
      <c r="D60" s="12">
        <v>323377</v>
      </c>
      <c r="E60" s="12" t="s">
        <v>24</v>
      </c>
      <c r="F60" s="12" t="s">
        <v>554</v>
      </c>
      <c r="G60" s="12" t="s">
        <v>20</v>
      </c>
      <c r="H60" s="12" t="s">
        <v>19</v>
      </c>
      <c r="I60" s="13">
        <v>46107</v>
      </c>
      <c r="J60" s="13">
        <v>46121</v>
      </c>
      <c r="K60" s="14">
        <v>75000</v>
      </c>
      <c r="L60" s="26" t="s">
        <v>555</v>
      </c>
      <c r="M60" s="12"/>
    </row>
    <row r="61" spans="1:13" x14ac:dyDescent="0.25">
      <c r="A61" s="12">
        <v>4</v>
      </c>
      <c r="B61" s="12" t="s">
        <v>16</v>
      </c>
      <c r="C61" s="12" t="s">
        <v>556</v>
      </c>
      <c r="D61" s="12">
        <v>323352</v>
      </c>
      <c r="E61" s="12" t="s">
        <v>17</v>
      </c>
      <c r="F61" s="12" t="s">
        <v>280</v>
      </c>
      <c r="G61" s="12" t="s">
        <v>20</v>
      </c>
      <c r="H61" s="12" t="s">
        <v>19</v>
      </c>
      <c r="I61" s="13">
        <v>46120</v>
      </c>
      <c r="J61" s="13">
        <v>46122</v>
      </c>
      <c r="K61" s="14">
        <v>55000</v>
      </c>
      <c r="L61" s="26" t="s">
        <v>83</v>
      </c>
      <c r="M61" s="12"/>
    </row>
    <row r="62" spans="1:13" x14ac:dyDescent="0.25">
      <c r="A62" s="12">
        <v>5</v>
      </c>
      <c r="B62" s="12" t="s">
        <v>549</v>
      </c>
      <c r="C62" s="12" t="s">
        <v>557</v>
      </c>
      <c r="D62" s="12">
        <v>323380</v>
      </c>
      <c r="E62" s="12" t="s">
        <v>24</v>
      </c>
      <c r="F62" s="12" t="s">
        <v>558</v>
      </c>
      <c r="G62" s="12" t="s">
        <v>18</v>
      </c>
      <c r="H62" s="12" t="s">
        <v>19</v>
      </c>
      <c r="I62" s="13">
        <v>46120</v>
      </c>
      <c r="J62" s="13">
        <v>46122</v>
      </c>
      <c r="K62" s="14">
        <v>46000</v>
      </c>
      <c r="L62" s="26"/>
      <c r="M62" s="12"/>
    </row>
    <row r="63" spans="1:13" x14ac:dyDescent="0.25">
      <c r="A63" s="12">
        <v>6</v>
      </c>
      <c r="B63" s="12" t="s">
        <v>16</v>
      </c>
      <c r="C63" s="12" t="s">
        <v>559</v>
      </c>
      <c r="D63" s="12">
        <v>323427</v>
      </c>
      <c r="E63" s="12" t="s">
        <v>17</v>
      </c>
      <c r="F63" s="12" t="s">
        <v>38</v>
      </c>
      <c r="G63" s="12" t="s">
        <v>18</v>
      </c>
      <c r="H63" s="12" t="s">
        <v>19</v>
      </c>
      <c r="I63" s="13">
        <v>46122</v>
      </c>
      <c r="J63" s="13">
        <v>46122</v>
      </c>
      <c r="K63" s="14">
        <v>25000</v>
      </c>
      <c r="L63" s="26"/>
      <c r="M63" s="12"/>
    </row>
    <row r="64" spans="1:13" x14ac:dyDescent="0.25">
      <c r="A64" s="12">
        <v>7</v>
      </c>
      <c r="B64" s="12" t="s">
        <v>183</v>
      </c>
      <c r="C64" s="12" t="s">
        <v>560</v>
      </c>
      <c r="D64" s="12">
        <v>324109</v>
      </c>
      <c r="E64" s="12" t="s">
        <v>17</v>
      </c>
      <c r="F64" s="12" t="s">
        <v>561</v>
      </c>
      <c r="G64" s="12" t="s">
        <v>18</v>
      </c>
      <c r="H64" s="12" t="s">
        <v>21</v>
      </c>
      <c r="I64" s="13">
        <v>46126</v>
      </c>
      <c r="J64" s="13">
        <v>46127</v>
      </c>
      <c r="K64" s="14">
        <v>300</v>
      </c>
      <c r="L64" s="26" t="s">
        <v>562</v>
      </c>
      <c r="M64" s="12"/>
    </row>
    <row r="65" spans="1:13" x14ac:dyDescent="0.25">
      <c r="A65" s="12">
        <v>8</v>
      </c>
      <c r="B65" s="15" t="s">
        <v>183</v>
      </c>
      <c r="C65" s="15" t="s">
        <v>563</v>
      </c>
      <c r="D65" s="15">
        <v>324366</v>
      </c>
      <c r="E65" s="15" t="s">
        <v>17</v>
      </c>
      <c r="F65" s="44" t="s">
        <v>564</v>
      </c>
      <c r="G65" s="15" t="s">
        <v>18</v>
      </c>
      <c r="H65" s="15" t="s">
        <v>21</v>
      </c>
      <c r="I65" s="16">
        <v>46122</v>
      </c>
      <c r="J65" s="16">
        <v>46132</v>
      </c>
      <c r="K65" s="17">
        <v>250</v>
      </c>
      <c r="L65" s="25" t="s">
        <v>565</v>
      </c>
      <c r="M65" s="15"/>
    </row>
    <row r="66" spans="1:13" x14ac:dyDescent="0.25">
      <c r="A66" s="12">
        <v>9</v>
      </c>
      <c r="B66" s="15" t="s">
        <v>22</v>
      </c>
      <c r="C66" s="15" t="s">
        <v>573</v>
      </c>
      <c r="D66" s="15">
        <v>324860</v>
      </c>
      <c r="E66" s="15" t="s">
        <v>17</v>
      </c>
      <c r="F66" s="15" t="s">
        <v>567</v>
      </c>
      <c r="G66" s="15" t="s">
        <v>18</v>
      </c>
      <c r="H66" s="15" t="s">
        <v>19</v>
      </c>
      <c r="I66" s="16">
        <v>46132</v>
      </c>
      <c r="J66" s="16">
        <v>46134</v>
      </c>
      <c r="K66" s="17">
        <v>19000</v>
      </c>
      <c r="L66" s="25"/>
      <c r="M66" s="15"/>
    </row>
    <row r="67" spans="1:13" ht="15.75" thickBot="1" x14ac:dyDescent="0.3">
      <c r="A67" s="12">
        <v>10</v>
      </c>
      <c r="B67" s="15" t="s">
        <v>458</v>
      </c>
      <c r="C67" s="15" t="s">
        <v>574</v>
      </c>
      <c r="D67" s="15">
        <v>325635</v>
      </c>
      <c r="E67" s="15" t="s">
        <v>17</v>
      </c>
      <c r="F67" s="15" t="s">
        <v>124</v>
      </c>
      <c r="G67" s="15" t="s">
        <v>20</v>
      </c>
      <c r="H67" s="15" t="s">
        <v>19</v>
      </c>
      <c r="I67" s="16">
        <v>46139</v>
      </c>
      <c r="J67" s="16">
        <v>46140</v>
      </c>
      <c r="K67" s="17">
        <v>22000</v>
      </c>
      <c r="L67" s="25"/>
      <c r="M67" s="15"/>
    </row>
    <row r="68" spans="1:13" ht="15.75" thickBot="1" x14ac:dyDescent="0.3">
      <c r="A68" s="132" t="s">
        <v>39</v>
      </c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4"/>
    </row>
    <row r="69" spans="1:13" x14ac:dyDescent="0.25">
      <c r="A69" s="12">
        <v>1</v>
      </c>
      <c r="B69" s="15" t="s">
        <v>458</v>
      </c>
      <c r="C69" s="15" t="s">
        <v>577</v>
      </c>
      <c r="D69" s="12">
        <v>326594</v>
      </c>
      <c r="E69" s="12" t="s">
        <v>24</v>
      </c>
      <c r="F69" s="12" t="s">
        <v>578</v>
      </c>
      <c r="G69" s="12" t="s">
        <v>20</v>
      </c>
      <c r="H69" s="12" t="s">
        <v>19</v>
      </c>
      <c r="I69" s="13">
        <v>46148</v>
      </c>
      <c r="J69" s="13">
        <v>46148</v>
      </c>
      <c r="K69" s="14">
        <v>95000</v>
      </c>
      <c r="L69" s="42"/>
      <c r="M69" s="14"/>
    </row>
    <row r="70" spans="1:13" x14ac:dyDescent="0.25">
      <c r="A70" s="15">
        <v>2</v>
      </c>
      <c r="B70" s="15" t="s">
        <v>458</v>
      </c>
      <c r="C70" s="15" t="s">
        <v>579</v>
      </c>
      <c r="D70" s="15">
        <v>326656</v>
      </c>
      <c r="E70" s="15" t="s">
        <v>37</v>
      </c>
      <c r="F70" s="15" t="s">
        <v>580</v>
      </c>
      <c r="G70" s="15" t="s">
        <v>20</v>
      </c>
      <c r="H70" s="15" t="s">
        <v>19</v>
      </c>
      <c r="I70" s="16">
        <v>46148</v>
      </c>
      <c r="J70" s="16">
        <v>46148</v>
      </c>
      <c r="K70" s="17">
        <v>100000</v>
      </c>
      <c r="L70" s="77"/>
      <c r="M70" s="15"/>
    </row>
    <row r="71" spans="1:13" x14ac:dyDescent="0.25">
      <c r="A71" s="15">
        <v>3</v>
      </c>
      <c r="B71" s="15" t="s">
        <v>458</v>
      </c>
      <c r="C71" s="15" t="s">
        <v>581</v>
      </c>
      <c r="D71" s="15">
        <v>326701</v>
      </c>
      <c r="E71" s="15" t="s">
        <v>17</v>
      </c>
      <c r="F71" s="15" t="s">
        <v>582</v>
      </c>
      <c r="G71" s="15" t="s">
        <v>20</v>
      </c>
      <c r="H71" s="15" t="s">
        <v>19</v>
      </c>
      <c r="I71" s="16">
        <v>46148</v>
      </c>
      <c r="J71" s="16">
        <v>46149</v>
      </c>
      <c r="K71" s="17">
        <v>29000</v>
      </c>
      <c r="L71" s="25"/>
      <c r="M71" s="15"/>
    </row>
    <row r="72" spans="1:13" x14ac:dyDescent="0.25">
      <c r="A72" s="15">
        <v>4</v>
      </c>
      <c r="B72" s="15" t="s">
        <v>16</v>
      </c>
      <c r="C72" s="15" t="s">
        <v>583</v>
      </c>
      <c r="D72" s="15">
        <v>326863</v>
      </c>
      <c r="E72" s="15" t="s">
        <v>17</v>
      </c>
      <c r="F72" s="15" t="s">
        <v>34</v>
      </c>
      <c r="G72" s="15" t="s">
        <v>18</v>
      </c>
      <c r="H72" s="15" t="s">
        <v>19</v>
      </c>
      <c r="I72" s="16">
        <v>46149</v>
      </c>
      <c r="J72" s="16">
        <v>46150</v>
      </c>
      <c r="K72" s="17">
        <v>30000</v>
      </c>
      <c r="L72" s="25"/>
      <c r="M72" s="15"/>
    </row>
    <row r="73" spans="1:13" x14ac:dyDescent="0.25">
      <c r="A73" s="15">
        <v>5</v>
      </c>
      <c r="B73" s="15" t="s">
        <v>549</v>
      </c>
      <c r="C73" s="15" t="s">
        <v>584</v>
      </c>
      <c r="D73" s="15">
        <v>326868</v>
      </c>
      <c r="E73" s="15" t="s">
        <v>17</v>
      </c>
      <c r="F73" s="15" t="s">
        <v>585</v>
      </c>
      <c r="G73" s="15" t="s">
        <v>18</v>
      </c>
      <c r="H73" s="15" t="s">
        <v>19</v>
      </c>
      <c r="I73" s="16">
        <v>46148</v>
      </c>
      <c r="J73" s="16">
        <v>46150</v>
      </c>
      <c r="K73" s="17">
        <v>64000</v>
      </c>
      <c r="L73" s="25"/>
      <c r="M73" s="15"/>
    </row>
    <row r="74" spans="1:13" x14ac:dyDescent="0.25">
      <c r="A74" s="15">
        <v>6</v>
      </c>
      <c r="B74" s="15" t="s">
        <v>22</v>
      </c>
      <c r="C74" s="15" t="s">
        <v>586</v>
      </c>
      <c r="D74" s="15">
        <v>326871</v>
      </c>
      <c r="E74" s="15" t="s">
        <v>32</v>
      </c>
      <c r="F74" s="15" t="s">
        <v>119</v>
      </c>
      <c r="G74" s="15" t="s">
        <v>18</v>
      </c>
      <c r="H74" s="15" t="s">
        <v>21</v>
      </c>
      <c r="I74" s="16">
        <v>46147</v>
      </c>
      <c r="J74" s="16">
        <v>46150</v>
      </c>
      <c r="K74" s="17">
        <v>80</v>
      </c>
      <c r="L74" s="25"/>
      <c r="M74" s="15"/>
    </row>
    <row r="75" spans="1:13" x14ac:dyDescent="0.25">
      <c r="A75" s="15">
        <v>7</v>
      </c>
      <c r="B75" s="15" t="s">
        <v>183</v>
      </c>
      <c r="C75" s="15" t="s">
        <v>588</v>
      </c>
      <c r="D75" s="15">
        <v>327075</v>
      </c>
      <c r="E75" s="15" t="s">
        <v>24</v>
      </c>
      <c r="F75" s="15" t="s">
        <v>589</v>
      </c>
      <c r="G75" s="15" t="s">
        <v>18</v>
      </c>
      <c r="H75" s="15" t="s">
        <v>19</v>
      </c>
      <c r="I75" s="16">
        <v>46150</v>
      </c>
      <c r="J75" s="16">
        <v>46153</v>
      </c>
      <c r="K75" s="17">
        <v>63000</v>
      </c>
      <c r="L75" s="25"/>
      <c r="M75" s="15"/>
    </row>
    <row r="76" spans="1:13" x14ac:dyDescent="0.25">
      <c r="A76" s="15">
        <v>8</v>
      </c>
      <c r="B76" s="15" t="s">
        <v>183</v>
      </c>
      <c r="C76" s="15" t="s">
        <v>590</v>
      </c>
      <c r="D76" s="15">
        <v>327087</v>
      </c>
      <c r="E76" s="15" t="s">
        <v>37</v>
      </c>
      <c r="F76" s="15" t="s">
        <v>591</v>
      </c>
      <c r="G76" s="15" t="s">
        <v>18</v>
      </c>
      <c r="H76" s="15" t="s">
        <v>21</v>
      </c>
      <c r="I76" s="16">
        <v>46153</v>
      </c>
      <c r="J76" s="16">
        <v>46153</v>
      </c>
      <c r="K76" s="17">
        <v>1500</v>
      </c>
      <c r="L76" s="25"/>
      <c r="M76" s="15"/>
    </row>
    <row r="77" spans="1:13" x14ac:dyDescent="0.25">
      <c r="A77" s="15">
        <v>9</v>
      </c>
      <c r="B77" s="15" t="s">
        <v>265</v>
      </c>
      <c r="C77" s="15" t="s">
        <v>592</v>
      </c>
      <c r="D77" s="15">
        <v>327393</v>
      </c>
      <c r="E77" s="15" t="s">
        <v>24</v>
      </c>
      <c r="F77" s="15" t="s">
        <v>593</v>
      </c>
      <c r="G77" s="15" t="s">
        <v>18</v>
      </c>
      <c r="H77" s="15" t="s">
        <v>19</v>
      </c>
      <c r="I77" s="16">
        <v>46129</v>
      </c>
      <c r="J77" s="16">
        <v>46155</v>
      </c>
      <c r="K77" s="17">
        <v>120000</v>
      </c>
      <c r="L77" s="25" t="s">
        <v>67</v>
      </c>
      <c r="M77" s="15"/>
    </row>
    <row r="78" spans="1:13" s="82" customFormat="1" x14ac:dyDescent="0.25">
      <c r="A78" s="15">
        <v>10</v>
      </c>
      <c r="B78" s="15" t="s">
        <v>549</v>
      </c>
      <c r="C78" s="15" t="s">
        <v>594</v>
      </c>
      <c r="D78" s="15">
        <v>327635</v>
      </c>
      <c r="E78" s="15" t="s">
        <v>17</v>
      </c>
      <c r="F78" s="15" t="s">
        <v>139</v>
      </c>
      <c r="G78" s="15" t="s">
        <v>18</v>
      </c>
      <c r="H78" s="15" t="s">
        <v>19</v>
      </c>
      <c r="I78" s="16">
        <v>46157</v>
      </c>
      <c r="J78" s="16">
        <v>46157</v>
      </c>
      <c r="K78" s="17">
        <v>52000</v>
      </c>
      <c r="L78" s="25"/>
      <c r="M78" s="15"/>
    </row>
    <row r="79" spans="1:13" x14ac:dyDescent="0.25">
      <c r="A79" s="15">
        <v>11</v>
      </c>
      <c r="B79" s="15" t="s">
        <v>265</v>
      </c>
      <c r="C79" s="15" t="s">
        <v>595</v>
      </c>
      <c r="D79" s="15">
        <v>327738</v>
      </c>
      <c r="E79" s="15" t="s">
        <v>48</v>
      </c>
      <c r="F79" s="15" t="s">
        <v>207</v>
      </c>
      <c r="G79" s="15" t="s">
        <v>18</v>
      </c>
      <c r="H79" s="15" t="s">
        <v>21</v>
      </c>
      <c r="I79" s="16">
        <v>46149</v>
      </c>
      <c r="J79" s="16">
        <v>46157</v>
      </c>
      <c r="K79" s="17">
        <v>400</v>
      </c>
      <c r="L79" s="25"/>
      <c r="M79" s="15"/>
    </row>
    <row r="80" spans="1:13" x14ac:dyDescent="0.25">
      <c r="A80" s="15">
        <v>12</v>
      </c>
      <c r="B80" s="15" t="s">
        <v>22</v>
      </c>
      <c r="C80" s="15" t="s">
        <v>596</v>
      </c>
      <c r="D80" s="15">
        <v>327714</v>
      </c>
      <c r="E80" s="15" t="s">
        <v>17</v>
      </c>
      <c r="F80" s="15" t="s">
        <v>168</v>
      </c>
      <c r="G80" s="15" t="s">
        <v>20</v>
      </c>
      <c r="H80" s="15" t="s">
        <v>19</v>
      </c>
      <c r="I80" s="16">
        <v>46154</v>
      </c>
      <c r="J80" s="16">
        <v>46157</v>
      </c>
      <c r="K80" s="17">
        <v>55000</v>
      </c>
      <c r="L80" s="25"/>
      <c r="M80" s="15"/>
    </row>
    <row r="81" spans="1:13" x14ac:dyDescent="0.25">
      <c r="A81" s="15">
        <v>13</v>
      </c>
      <c r="B81" s="15" t="s">
        <v>469</v>
      </c>
      <c r="C81" s="15" t="s">
        <v>600</v>
      </c>
      <c r="D81" s="15">
        <v>328355</v>
      </c>
      <c r="E81" s="15" t="s">
        <v>17</v>
      </c>
      <c r="F81" s="15" t="s">
        <v>548</v>
      </c>
      <c r="G81" s="15" t="s">
        <v>20</v>
      </c>
      <c r="H81" s="15" t="s">
        <v>19</v>
      </c>
      <c r="I81" s="16">
        <v>46153</v>
      </c>
      <c r="J81" s="16">
        <v>46163</v>
      </c>
      <c r="K81" s="17">
        <v>34000</v>
      </c>
      <c r="L81" s="25"/>
      <c r="M81" s="15"/>
    </row>
    <row r="82" spans="1:13" x14ac:dyDescent="0.25">
      <c r="A82" s="15">
        <v>14</v>
      </c>
      <c r="B82" s="15" t="s">
        <v>16</v>
      </c>
      <c r="C82" s="15" t="s">
        <v>601</v>
      </c>
      <c r="D82" s="15">
        <v>328294</v>
      </c>
      <c r="E82" s="15" t="s">
        <v>17</v>
      </c>
      <c r="F82" s="15" t="s">
        <v>262</v>
      </c>
      <c r="G82" s="15" t="s">
        <v>20</v>
      </c>
      <c r="H82" s="15" t="s">
        <v>19</v>
      </c>
      <c r="I82" s="16">
        <v>46154</v>
      </c>
      <c r="J82" s="16">
        <v>46163</v>
      </c>
      <c r="K82" s="17">
        <v>25000</v>
      </c>
      <c r="L82" s="25"/>
      <c r="M82" s="15"/>
    </row>
    <row r="83" spans="1:13" x14ac:dyDescent="0.25">
      <c r="A83" s="15">
        <v>15</v>
      </c>
      <c r="B83" s="15" t="s">
        <v>16</v>
      </c>
      <c r="C83" s="15" t="s">
        <v>602</v>
      </c>
      <c r="D83" s="15">
        <v>328433</v>
      </c>
      <c r="E83" s="15" t="s">
        <v>24</v>
      </c>
      <c r="F83" s="15" t="s">
        <v>185</v>
      </c>
      <c r="G83" s="15" t="s">
        <v>20</v>
      </c>
      <c r="H83" s="15" t="s">
        <v>19</v>
      </c>
      <c r="I83" s="16">
        <v>46163</v>
      </c>
      <c r="J83" s="16">
        <v>46164</v>
      </c>
      <c r="K83" s="17">
        <v>55000</v>
      </c>
      <c r="L83" s="25" t="s">
        <v>212</v>
      </c>
      <c r="M83" s="15"/>
    </row>
    <row r="84" spans="1:13" ht="15.75" thickBot="1" x14ac:dyDescent="0.3">
      <c r="A84" s="15">
        <v>16</v>
      </c>
      <c r="B84" s="15" t="s">
        <v>16</v>
      </c>
      <c r="C84" s="15" t="s">
        <v>603</v>
      </c>
      <c r="D84" s="15">
        <v>328491</v>
      </c>
      <c r="E84" s="15" t="s">
        <v>17</v>
      </c>
      <c r="F84" s="15" t="s">
        <v>604</v>
      </c>
      <c r="G84" s="15" t="s">
        <v>20</v>
      </c>
      <c r="H84" s="15" t="s">
        <v>21</v>
      </c>
      <c r="I84" s="16">
        <v>46163</v>
      </c>
      <c r="J84" s="16">
        <v>46164</v>
      </c>
      <c r="K84" s="17">
        <v>350</v>
      </c>
      <c r="L84" s="25" t="s">
        <v>605</v>
      </c>
      <c r="M84" s="15"/>
    </row>
    <row r="85" spans="1:13" ht="15.75" thickBot="1" x14ac:dyDescent="0.3">
      <c r="A85" s="132" t="s">
        <v>42</v>
      </c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4"/>
    </row>
    <row r="86" spans="1:13" x14ac:dyDescent="0.25">
      <c r="A86" s="19">
        <v>1</v>
      </c>
      <c r="B86" s="19" t="s">
        <v>22</v>
      </c>
      <c r="C86" s="15" t="s">
        <v>606</v>
      </c>
      <c r="D86" s="19">
        <v>329597</v>
      </c>
      <c r="E86" s="19" t="s">
        <v>17</v>
      </c>
      <c r="F86" s="32" t="s">
        <v>608</v>
      </c>
      <c r="G86" s="19" t="s">
        <v>20</v>
      </c>
      <c r="H86" s="19" t="s">
        <v>19</v>
      </c>
      <c r="I86" s="20">
        <v>46170</v>
      </c>
      <c r="J86" s="20">
        <v>46174</v>
      </c>
      <c r="K86" s="21">
        <v>35000</v>
      </c>
      <c r="L86" s="28"/>
      <c r="M86" s="21"/>
    </row>
    <row r="87" spans="1:13" x14ac:dyDescent="0.25">
      <c r="A87" s="12">
        <v>2</v>
      </c>
      <c r="B87" s="12" t="s">
        <v>16</v>
      </c>
      <c r="C87" s="12" t="s">
        <v>607</v>
      </c>
      <c r="D87" s="12">
        <v>329652</v>
      </c>
      <c r="E87" s="12" t="s">
        <v>17</v>
      </c>
      <c r="F87" s="12" t="s">
        <v>609</v>
      </c>
      <c r="G87" s="12" t="s">
        <v>20</v>
      </c>
      <c r="H87" s="12" t="s">
        <v>19</v>
      </c>
      <c r="I87" s="13">
        <v>46171</v>
      </c>
      <c r="J87" s="13">
        <v>46174</v>
      </c>
      <c r="K87" s="14">
        <v>105000</v>
      </c>
      <c r="L87" s="42" t="s">
        <v>610</v>
      </c>
      <c r="M87" s="12"/>
    </row>
    <row r="88" spans="1:13" x14ac:dyDescent="0.25">
      <c r="A88" s="12">
        <v>3</v>
      </c>
      <c r="B88" s="12" t="s">
        <v>16</v>
      </c>
      <c r="C88" s="12" t="s">
        <v>611</v>
      </c>
      <c r="D88" s="12">
        <v>330031</v>
      </c>
      <c r="E88" s="12" t="s">
        <v>17</v>
      </c>
      <c r="F88" s="12" t="s">
        <v>612</v>
      </c>
      <c r="G88" s="12" t="s">
        <v>18</v>
      </c>
      <c r="H88" s="12" t="s">
        <v>19</v>
      </c>
      <c r="I88" s="13">
        <v>46172</v>
      </c>
      <c r="J88" s="13">
        <v>46176</v>
      </c>
      <c r="K88" s="14">
        <v>40000</v>
      </c>
      <c r="L88" s="26"/>
      <c r="M88" s="12"/>
    </row>
    <row r="89" spans="1:13" x14ac:dyDescent="0.25">
      <c r="A89" s="12">
        <v>4</v>
      </c>
      <c r="B89" s="12" t="s">
        <v>16</v>
      </c>
      <c r="C89" s="12" t="s">
        <v>613</v>
      </c>
      <c r="D89" s="12">
        <v>330105</v>
      </c>
      <c r="E89" s="12" t="s">
        <v>17</v>
      </c>
      <c r="F89" s="12" t="s">
        <v>614</v>
      </c>
      <c r="G89" s="12" t="s">
        <v>615</v>
      </c>
      <c r="H89" s="12" t="s">
        <v>616</v>
      </c>
      <c r="I89" s="13">
        <v>46174</v>
      </c>
      <c r="J89" s="13">
        <v>46176</v>
      </c>
      <c r="K89" s="14">
        <v>42500</v>
      </c>
      <c r="L89" s="26"/>
      <c r="M89" s="12"/>
    </row>
    <row r="90" spans="1:13" x14ac:dyDescent="0.25">
      <c r="A90" s="12">
        <v>5</v>
      </c>
      <c r="B90" s="12" t="s">
        <v>22</v>
      </c>
      <c r="C90" s="12" t="s">
        <v>617</v>
      </c>
      <c r="D90" s="12">
        <v>330246</v>
      </c>
      <c r="E90" s="12" t="s">
        <v>618</v>
      </c>
      <c r="F90" s="12" t="s">
        <v>452</v>
      </c>
      <c r="G90" s="12" t="s">
        <v>18</v>
      </c>
      <c r="H90" s="12" t="s">
        <v>19</v>
      </c>
      <c r="I90" s="13">
        <v>46176</v>
      </c>
      <c r="J90" s="13">
        <v>46177</v>
      </c>
      <c r="K90" s="14">
        <v>12000</v>
      </c>
      <c r="L90" s="26"/>
      <c r="M90" s="12"/>
    </row>
    <row r="91" spans="1:13" x14ac:dyDescent="0.25">
      <c r="A91" s="12">
        <v>6</v>
      </c>
      <c r="B91" s="12" t="s">
        <v>16</v>
      </c>
      <c r="C91" s="12" t="s">
        <v>620</v>
      </c>
      <c r="D91" s="12">
        <v>330785</v>
      </c>
      <c r="E91" s="12" t="s">
        <v>17</v>
      </c>
      <c r="F91" s="12" t="s">
        <v>621</v>
      </c>
      <c r="G91" s="12" t="s">
        <v>18</v>
      </c>
      <c r="H91" s="12" t="s">
        <v>19</v>
      </c>
      <c r="I91" s="13">
        <v>46169</v>
      </c>
      <c r="J91" s="13">
        <v>46184</v>
      </c>
      <c r="K91" s="14">
        <v>35000</v>
      </c>
      <c r="L91" s="26" t="s">
        <v>622</v>
      </c>
      <c r="M91" s="12"/>
    </row>
    <row r="92" spans="1:13" x14ac:dyDescent="0.25">
      <c r="A92" s="12">
        <v>7</v>
      </c>
      <c r="B92" s="12" t="s">
        <v>16</v>
      </c>
      <c r="C92" s="12" t="s">
        <v>623</v>
      </c>
      <c r="D92" s="12">
        <v>330825</v>
      </c>
      <c r="E92" s="12" t="s">
        <v>17</v>
      </c>
      <c r="F92" s="12" t="s">
        <v>548</v>
      </c>
      <c r="G92" s="12" t="s">
        <v>20</v>
      </c>
      <c r="H92" s="12" t="s">
        <v>19</v>
      </c>
      <c r="I92" s="13">
        <v>46181</v>
      </c>
      <c r="J92" s="13">
        <v>46184</v>
      </c>
      <c r="K92" s="14">
        <v>42000</v>
      </c>
      <c r="L92" s="26" t="s">
        <v>624</v>
      </c>
      <c r="M92" s="12"/>
    </row>
    <row r="93" spans="1:13" x14ac:dyDescent="0.25">
      <c r="A93" s="12">
        <v>8</v>
      </c>
      <c r="B93" s="15" t="s">
        <v>183</v>
      </c>
      <c r="C93" s="15" t="s">
        <v>625</v>
      </c>
      <c r="D93" s="15">
        <v>331615</v>
      </c>
      <c r="E93" s="15" t="s">
        <v>626</v>
      </c>
      <c r="F93" s="15" t="s">
        <v>627</v>
      </c>
      <c r="G93" s="15" t="s">
        <v>20</v>
      </c>
      <c r="H93" s="15" t="s">
        <v>19</v>
      </c>
      <c r="I93" s="16">
        <v>46185</v>
      </c>
      <c r="J93" s="16">
        <v>46185</v>
      </c>
      <c r="K93" s="17">
        <v>63000</v>
      </c>
      <c r="L93" s="25"/>
      <c r="M93" s="15"/>
    </row>
    <row r="94" spans="1:13" x14ac:dyDescent="0.25">
      <c r="A94" s="12">
        <v>9</v>
      </c>
      <c r="B94" s="15" t="s">
        <v>458</v>
      </c>
      <c r="C94" s="15" t="s">
        <v>628</v>
      </c>
      <c r="D94" s="15">
        <v>332160</v>
      </c>
      <c r="E94" s="15" t="s">
        <v>43</v>
      </c>
      <c r="F94" s="15" t="s">
        <v>373</v>
      </c>
      <c r="G94" s="15" t="s">
        <v>18</v>
      </c>
      <c r="H94" s="15" t="s">
        <v>19</v>
      </c>
      <c r="I94" s="16">
        <v>46167</v>
      </c>
      <c r="J94" s="16">
        <v>46189</v>
      </c>
      <c r="K94" s="17">
        <v>250000</v>
      </c>
      <c r="L94" s="25"/>
      <c r="M94" s="15"/>
    </row>
    <row r="95" spans="1:13" x14ac:dyDescent="0.25">
      <c r="A95" s="12">
        <v>10</v>
      </c>
      <c r="B95" s="15" t="s">
        <v>22</v>
      </c>
      <c r="C95" s="15" t="s">
        <v>629</v>
      </c>
      <c r="D95" s="15">
        <v>332328</v>
      </c>
      <c r="E95" s="15" t="s">
        <v>618</v>
      </c>
      <c r="F95" s="15" t="s">
        <v>532</v>
      </c>
      <c r="G95" s="15" t="s">
        <v>20</v>
      </c>
      <c r="H95" s="15" t="s">
        <v>21</v>
      </c>
      <c r="I95" s="16">
        <v>46187</v>
      </c>
      <c r="J95" s="16">
        <v>46189</v>
      </c>
      <c r="K95" s="17">
        <v>800</v>
      </c>
      <c r="L95" s="25"/>
      <c r="M95" s="15"/>
    </row>
    <row r="96" spans="1:13" x14ac:dyDescent="0.25">
      <c r="A96" s="12">
        <v>11</v>
      </c>
      <c r="B96" s="12" t="s">
        <v>22</v>
      </c>
      <c r="C96" s="12" t="s">
        <v>630</v>
      </c>
      <c r="D96" s="12">
        <v>332333</v>
      </c>
      <c r="E96" s="12" t="s">
        <v>17</v>
      </c>
      <c r="F96" s="12" t="s">
        <v>631</v>
      </c>
      <c r="G96" s="12" t="s">
        <v>20</v>
      </c>
      <c r="H96" s="12" t="s">
        <v>19</v>
      </c>
      <c r="I96" s="13">
        <v>46185</v>
      </c>
      <c r="J96" s="13">
        <v>46189</v>
      </c>
      <c r="K96" s="14">
        <v>55000</v>
      </c>
      <c r="L96" s="26" t="s">
        <v>634</v>
      </c>
      <c r="M96" s="12"/>
    </row>
    <row r="97" spans="1:13" ht="15.75" thickBot="1" x14ac:dyDescent="0.3">
      <c r="A97" s="12">
        <v>12</v>
      </c>
      <c r="B97" s="15" t="s">
        <v>183</v>
      </c>
      <c r="C97" s="15" t="s">
        <v>632</v>
      </c>
      <c r="D97" s="15">
        <v>332509</v>
      </c>
      <c r="E97" s="15" t="s">
        <v>17</v>
      </c>
      <c r="F97" s="15" t="s">
        <v>633</v>
      </c>
      <c r="G97" s="15" t="s">
        <v>18</v>
      </c>
      <c r="H97" s="15" t="s">
        <v>19</v>
      </c>
      <c r="I97" s="16">
        <v>46191</v>
      </c>
      <c r="J97" s="16">
        <v>46191</v>
      </c>
      <c r="K97" s="17">
        <v>35000</v>
      </c>
      <c r="L97" s="25"/>
      <c r="M97" s="15"/>
    </row>
    <row r="98" spans="1:13" ht="15.75" thickBot="1" x14ac:dyDescent="0.3">
      <c r="A98" s="132" t="s">
        <v>49</v>
      </c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4"/>
    </row>
    <row r="99" spans="1:13" x14ac:dyDescent="0.25">
      <c r="A99" s="12">
        <v>1</v>
      </c>
      <c r="B99" s="15" t="s">
        <v>183</v>
      </c>
      <c r="C99" s="15" t="s">
        <v>635</v>
      </c>
      <c r="D99" s="12">
        <v>335356</v>
      </c>
      <c r="E99" s="12" t="s">
        <v>24</v>
      </c>
      <c r="F99" s="12" t="s">
        <v>340</v>
      </c>
      <c r="G99" s="12" t="s">
        <v>18</v>
      </c>
      <c r="H99" s="12" t="s">
        <v>19</v>
      </c>
      <c r="I99" s="13">
        <v>46210</v>
      </c>
      <c r="J99" s="13">
        <v>46210</v>
      </c>
      <c r="K99" s="14">
        <v>38000</v>
      </c>
      <c r="L99" s="42"/>
      <c r="M99" s="14"/>
    </row>
    <row r="100" spans="1:13" x14ac:dyDescent="0.25">
      <c r="A100" s="12">
        <v>2</v>
      </c>
      <c r="B100" s="15" t="s">
        <v>458</v>
      </c>
      <c r="C100" s="12" t="s">
        <v>636</v>
      </c>
      <c r="D100" s="12">
        <v>336547</v>
      </c>
      <c r="E100" s="12" t="s">
        <v>17</v>
      </c>
      <c r="F100" s="12" t="s">
        <v>637</v>
      </c>
      <c r="G100" s="12" t="s">
        <v>20</v>
      </c>
      <c r="H100" s="12" t="s">
        <v>19</v>
      </c>
      <c r="I100" s="13">
        <v>46224</v>
      </c>
      <c r="J100" s="13">
        <v>46224</v>
      </c>
      <c r="K100" s="14">
        <v>35000</v>
      </c>
      <c r="L100" s="42"/>
      <c r="M100" s="12"/>
    </row>
    <row r="101" spans="1:13" ht="15.75" thickBot="1" x14ac:dyDescent="0.3">
      <c r="A101" s="12">
        <v>3</v>
      </c>
      <c r="B101" s="12" t="s">
        <v>16</v>
      </c>
      <c r="C101" s="12" t="s">
        <v>638</v>
      </c>
      <c r="D101" s="12">
        <v>337742</v>
      </c>
      <c r="E101" s="12" t="s">
        <v>17</v>
      </c>
      <c r="F101" s="12" t="s">
        <v>396</v>
      </c>
      <c r="G101" s="12" t="s">
        <v>20</v>
      </c>
      <c r="H101" s="12" t="s">
        <v>19</v>
      </c>
      <c r="I101" s="13">
        <v>46231</v>
      </c>
      <c r="J101" s="13">
        <v>46233</v>
      </c>
      <c r="K101" s="14">
        <v>42000</v>
      </c>
      <c r="L101" s="26"/>
      <c r="M101" s="12"/>
    </row>
    <row r="102" spans="1:13" ht="15.75" thickBot="1" x14ac:dyDescent="0.3">
      <c r="A102" s="132" t="s">
        <v>52</v>
      </c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4"/>
    </row>
    <row r="103" spans="1:13" x14ac:dyDescent="0.25">
      <c r="A103" s="12">
        <v>1</v>
      </c>
      <c r="B103" s="12" t="s">
        <v>22</v>
      </c>
      <c r="C103" s="12" t="s">
        <v>643</v>
      </c>
      <c r="D103" s="12">
        <v>338632</v>
      </c>
      <c r="E103" s="12" t="s">
        <v>17</v>
      </c>
      <c r="F103" s="12" t="s">
        <v>28</v>
      </c>
      <c r="G103" s="12" t="s">
        <v>18</v>
      </c>
      <c r="H103" s="12" t="s">
        <v>19</v>
      </c>
      <c r="I103" s="13">
        <v>46221</v>
      </c>
      <c r="J103" s="13">
        <v>46221</v>
      </c>
      <c r="K103" s="14">
        <v>36000</v>
      </c>
      <c r="L103" s="42"/>
      <c r="M103" s="14"/>
    </row>
    <row r="104" spans="1:13" x14ac:dyDescent="0.25">
      <c r="A104" s="12">
        <v>2</v>
      </c>
      <c r="B104" s="12" t="s">
        <v>22</v>
      </c>
      <c r="C104" s="12" t="s">
        <v>644</v>
      </c>
      <c r="D104" s="12">
        <v>338646</v>
      </c>
      <c r="E104" s="12" t="s">
        <v>645</v>
      </c>
      <c r="F104" s="12" t="s">
        <v>646</v>
      </c>
      <c r="G104" s="12" t="s">
        <v>20</v>
      </c>
      <c r="H104" s="12" t="s">
        <v>21</v>
      </c>
      <c r="I104" s="13">
        <v>46235</v>
      </c>
      <c r="J104" s="13">
        <v>46235</v>
      </c>
      <c r="K104" s="14">
        <v>4000</v>
      </c>
      <c r="L104" s="42" t="s">
        <v>67</v>
      </c>
      <c r="M104" s="12"/>
    </row>
    <row r="105" spans="1:13" x14ac:dyDescent="0.25">
      <c r="A105" s="12">
        <v>3</v>
      </c>
      <c r="B105" s="12" t="s">
        <v>16</v>
      </c>
      <c r="C105" s="12" t="s">
        <v>652</v>
      </c>
      <c r="D105" s="12">
        <v>339534</v>
      </c>
      <c r="E105" s="12" t="s">
        <v>43</v>
      </c>
      <c r="F105" s="12" t="s">
        <v>654</v>
      </c>
      <c r="G105" s="12" t="s">
        <v>20</v>
      </c>
      <c r="H105" s="12" t="s">
        <v>19</v>
      </c>
      <c r="I105" s="13">
        <v>46247</v>
      </c>
      <c r="J105" s="13">
        <v>46252</v>
      </c>
      <c r="K105" s="14">
        <v>120000</v>
      </c>
      <c r="L105" s="26"/>
      <c r="M105" s="12"/>
    </row>
    <row r="106" spans="1:13" x14ac:dyDescent="0.25">
      <c r="A106" s="12">
        <v>4</v>
      </c>
      <c r="B106" s="12" t="s">
        <v>16</v>
      </c>
      <c r="C106" s="12" t="s">
        <v>653</v>
      </c>
      <c r="D106" s="12">
        <v>321806</v>
      </c>
      <c r="E106" s="12" t="s">
        <v>24</v>
      </c>
      <c r="F106" s="12" t="s">
        <v>534</v>
      </c>
      <c r="G106" s="12" t="s">
        <v>20</v>
      </c>
      <c r="H106" s="12" t="s">
        <v>19</v>
      </c>
      <c r="I106" s="13">
        <v>46105</v>
      </c>
      <c r="J106" s="13">
        <v>46252</v>
      </c>
      <c r="K106" s="14">
        <v>160000</v>
      </c>
      <c r="L106" s="26"/>
      <c r="M106" s="12"/>
    </row>
    <row r="107" spans="1:13" x14ac:dyDescent="0.25">
      <c r="A107" s="12">
        <v>5</v>
      </c>
      <c r="B107" s="12" t="s">
        <v>265</v>
      </c>
      <c r="C107" s="12" t="s">
        <v>659</v>
      </c>
      <c r="D107" s="12">
        <v>341230</v>
      </c>
      <c r="E107" s="12" t="s">
        <v>17</v>
      </c>
      <c r="F107" s="49" t="s">
        <v>139</v>
      </c>
      <c r="G107" s="12" t="s">
        <v>18</v>
      </c>
      <c r="H107" s="12" t="s">
        <v>21</v>
      </c>
      <c r="I107" s="13">
        <v>46262</v>
      </c>
      <c r="J107" s="13">
        <v>46262</v>
      </c>
      <c r="K107" s="14">
        <v>300</v>
      </c>
      <c r="L107" s="26"/>
      <c r="M107" s="12"/>
    </row>
    <row r="108" spans="1:13" ht="15.75" thickBot="1" x14ac:dyDescent="0.3">
      <c r="A108" s="12">
        <v>6</v>
      </c>
      <c r="B108" s="12" t="s">
        <v>265</v>
      </c>
      <c r="C108" s="12" t="s">
        <v>660</v>
      </c>
      <c r="D108" s="12">
        <v>341269</v>
      </c>
      <c r="E108" s="12" t="s">
        <v>32</v>
      </c>
      <c r="F108" s="12" t="s">
        <v>651</v>
      </c>
      <c r="G108" s="12" t="s">
        <v>18</v>
      </c>
      <c r="H108" s="12" t="s">
        <v>19</v>
      </c>
      <c r="I108" s="13">
        <v>46262</v>
      </c>
      <c r="J108" s="13">
        <v>46262</v>
      </c>
      <c r="K108" s="14">
        <v>70000</v>
      </c>
      <c r="L108" s="26" t="s">
        <v>67</v>
      </c>
      <c r="M108" s="12"/>
    </row>
    <row r="109" spans="1:13" ht="15.75" thickBot="1" x14ac:dyDescent="0.3">
      <c r="A109" s="132" t="s">
        <v>55</v>
      </c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4"/>
    </row>
    <row r="110" spans="1:13" x14ac:dyDescent="0.25">
      <c r="A110" s="12">
        <v>1</v>
      </c>
      <c r="B110" s="12" t="s">
        <v>183</v>
      </c>
      <c r="C110" s="12" t="s">
        <v>672</v>
      </c>
      <c r="D110" s="12">
        <v>341692</v>
      </c>
      <c r="E110" s="12" t="s">
        <v>17</v>
      </c>
      <c r="F110" s="12" t="s">
        <v>271</v>
      </c>
      <c r="G110" s="12" t="s">
        <v>18</v>
      </c>
      <c r="H110" s="12" t="s">
        <v>19</v>
      </c>
      <c r="I110" s="13">
        <v>46263</v>
      </c>
      <c r="J110" s="13">
        <v>46267</v>
      </c>
      <c r="K110" s="14">
        <v>37500</v>
      </c>
      <c r="L110" s="42" t="s">
        <v>670</v>
      </c>
      <c r="M110" s="14"/>
    </row>
    <row r="111" spans="1:13" x14ac:dyDescent="0.25">
      <c r="A111" s="12">
        <v>2</v>
      </c>
      <c r="B111" s="12" t="s">
        <v>16</v>
      </c>
      <c r="C111" s="12" t="s">
        <v>673</v>
      </c>
      <c r="D111" s="12">
        <v>342418</v>
      </c>
      <c r="E111" s="12" t="s">
        <v>17</v>
      </c>
      <c r="F111" s="22" t="s">
        <v>676</v>
      </c>
      <c r="G111" s="12" t="s">
        <v>18</v>
      </c>
      <c r="H111" s="12" t="s">
        <v>19</v>
      </c>
      <c r="I111" s="13">
        <v>46268</v>
      </c>
      <c r="J111" s="13">
        <v>46270</v>
      </c>
      <c r="K111" s="14">
        <v>70000</v>
      </c>
      <c r="L111" s="42"/>
      <c r="M111" s="12"/>
    </row>
    <row r="112" spans="1:13" x14ac:dyDescent="0.25">
      <c r="A112" s="12">
        <v>3</v>
      </c>
      <c r="B112" s="12" t="s">
        <v>671</v>
      </c>
      <c r="C112" s="12" t="s">
        <v>674</v>
      </c>
      <c r="D112" s="12">
        <v>342493</v>
      </c>
      <c r="E112" s="12" t="s">
        <v>23</v>
      </c>
      <c r="F112" s="12" t="s">
        <v>675</v>
      </c>
      <c r="G112" s="12" t="s">
        <v>20</v>
      </c>
      <c r="H112" s="12" t="s">
        <v>19</v>
      </c>
      <c r="I112" s="13">
        <v>46269</v>
      </c>
      <c r="J112" s="13"/>
      <c r="K112" s="14">
        <v>60000</v>
      </c>
      <c r="L112" s="26"/>
      <c r="M112" s="12"/>
    </row>
    <row r="113" spans="1:13" x14ac:dyDescent="0.25">
      <c r="A113" s="12">
        <v>4</v>
      </c>
      <c r="B113" s="12" t="s">
        <v>671</v>
      </c>
      <c r="C113" s="12" t="s">
        <v>677</v>
      </c>
      <c r="D113" s="12">
        <v>342516</v>
      </c>
      <c r="E113" s="22" t="s">
        <v>27</v>
      </c>
      <c r="F113" s="12" t="s">
        <v>678</v>
      </c>
      <c r="G113" s="12" t="s">
        <v>20</v>
      </c>
      <c r="H113" s="12" t="s">
        <v>19</v>
      </c>
      <c r="I113" s="13">
        <v>46269</v>
      </c>
      <c r="J113" s="13">
        <v>46287</v>
      </c>
      <c r="K113" s="14">
        <v>90000</v>
      </c>
      <c r="L113" s="26"/>
      <c r="M113" s="12"/>
    </row>
    <row r="114" spans="1:13" x14ac:dyDescent="0.25">
      <c r="A114" s="12">
        <v>5</v>
      </c>
      <c r="B114" s="12" t="s">
        <v>572</v>
      </c>
      <c r="C114" s="12" t="s">
        <v>680</v>
      </c>
      <c r="D114" s="12">
        <v>343518</v>
      </c>
      <c r="E114" s="12" t="s">
        <v>24</v>
      </c>
      <c r="F114" s="12" t="s">
        <v>681</v>
      </c>
      <c r="G114" s="12" t="s">
        <v>20</v>
      </c>
      <c r="H114" s="12" t="s">
        <v>19</v>
      </c>
      <c r="I114" s="13">
        <v>46279</v>
      </c>
      <c r="J114" s="13">
        <v>46287</v>
      </c>
      <c r="K114" s="14">
        <v>48000</v>
      </c>
      <c r="L114" s="26"/>
      <c r="M114" s="12"/>
    </row>
    <row r="115" spans="1:13" x14ac:dyDescent="0.25">
      <c r="A115" s="12">
        <v>6</v>
      </c>
      <c r="B115" s="12" t="s">
        <v>671</v>
      </c>
      <c r="C115" s="12" t="s">
        <v>682</v>
      </c>
      <c r="D115" s="12">
        <v>343786</v>
      </c>
      <c r="E115" s="12" t="s">
        <v>41</v>
      </c>
      <c r="F115" s="12" t="s">
        <v>683</v>
      </c>
      <c r="G115" s="12" t="s">
        <v>18</v>
      </c>
      <c r="H115" s="12" t="s">
        <v>19</v>
      </c>
      <c r="I115" s="13">
        <v>46282</v>
      </c>
      <c r="J115" s="13">
        <v>46287</v>
      </c>
      <c r="K115" s="14">
        <v>60000</v>
      </c>
      <c r="L115" s="26" t="s">
        <v>684</v>
      </c>
      <c r="M115" s="12"/>
    </row>
    <row r="116" spans="1:13" x14ac:dyDescent="0.25">
      <c r="A116" s="12">
        <v>7</v>
      </c>
      <c r="B116" s="12" t="s">
        <v>671</v>
      </c>
      <c r="C116" s="12" t="s">
        <v>685</v>
      </c>
      <c r="D116" s="12">
        <v>343927</v>
      </c>
      <c r="E116" s="12" t="s">
        <v>41</v>
      </c>
      <c r="F116" s="12" t="s">
        <v>686</v>
      </c>
      <c r="G116" s="12" t="s">
        <v>18</v>
      </c>
      <c r="H116" s="12" t="s">
        <v>19</v>
      </c>
      <c r="I116" s="13">
        <v>46283</v>
      </c>
      <c r="J116" s="13">
        <v>46287</v>
      </c>
      <c r="K116" s="14">
        <v>24000</v>
      </c>
      <c r="L116" s="26"/>
      <c r="M116" s="12"/>
    </row>
    <row r="117" spans="1:13" x14ac:dyDescent="0.25">
      <c r="A117" s="12">
        <v>8</v>
      </c>
      <c r="B117" s="15" t="s">
        <v>183</v>
      </c>
      <c r="C117" s="15" t="s">
        <v>687</v>
      </c>
      <c r="D117" s="15">
        <v>344090</v>
      </c>
      <c r="E117" s="15" t="s">
        <v>17</v>
      </c>
      <c r="F117" s="15" t="s">
        <v>491</v>
      </c>
      <c r="G117" s="15" t="s">
        <v>18</v>
      </c>
      <c r="H117" s="15" t="s">
        <v>19</v>
      </c>
      <c r="I117" s="16">
        <v>46284</v>
      </c>
      <c r="J117" s="16">
        <v>46287</v>
      </c>
      <c r="K117" s="17">
        <v>41000</v>
      </c>
      <c r="L117" s="25"/>
      <c r="M117" s="15"/>
    </row>
    <row r="118" spans="1:13" x14ac:dyDescent="0.25">
      <c r="A118" s="12"/>
      <c r="B118" s="12"/>
      <c r="C118" s="12"/>
      <c r="D118" s="12"/>
      <c r="E118" s="12"/>
      <c r="F118" s="12"/>
      <c r="G118" s="12"/>
      <c r="H118" s="12"/>
      <c r="I118" s="13"/>
      <c r="J118" s="13"/>
      <c r="K118" s="14"/>
      <c r="L118" s="26"/>
      <c r="M118" s="12"/>
    </row>
    <row r="119" spans="1:13" x14ac:dyDescent="0.25">
      <c r="A119" s="12"/>
      <c r="B119" s="12"/>
      <c r="C119" s="12"/>
      <c r="D119" s="12"/>
      <c r="E119" s="71"/>
      <c r="F119" s="71"/>
      <c r="G119" s="12"/>
      <c r="H119" s="12"/>
      <c r="I119" s="13"/>
      <c r="J119" s="13"/>
      <c r="K119" s="14"/>
      <c r="L119" s="26"/>
      <c r="M119" s="12"/>
    </row>
    <row r="120" spans="1:13" x14ac:dyDescent="0.25">
      <c r="A120" s="12"/>
      <c r="B120" s="12"/>
      <c r="C120" s="12"/>
      <c r="D120" s="12"/>
      <c r="E120" s="22"/>
      <c r="F120" s="12"/>
      <c r="G120" s="12"/>
      <c r="H120" s="12"/>
      <c r="I120" s="13"/>
      <c r="J120" s="13"/>
      <c r="K120" s="14"/>
      <c r="L120" s="26"/>
      <c r="M120" s="12"/>
    </row>
    <row r="121" spans="1:13" x14ac:dyDescent="0.25">
      <c r="A121" s="12"/>
      <c r="B121" s="15"/>
      <c r="C121" s="15"/>
      <c r="D121" s="15"/>
      <c r="E121" s="44"/>
      <c r="F121" s="15"/>
      <c r="G121" s="15"/>
      <c r="H121" s="15"/>
      <c r="I121" s="16"/>
      <c r="J121" s="16"/>
      <c r="K121" s="17"/>
      <c r="L121" s="25"/>
      <c r="M121" s="15"/>
    </row>
    <row r="122" spans="1:13" x14ac:dyDescent="0.25">
      <c r="A122" s="12"/>
      <c r="B122" s="15"/>
      <c r="C122" s="15"/>
      <c r="D122" s="15"/>
      <c r="E122" s="15"/>
      <c r="F122" s="15"/>
      <c r="G122" s="15"/>
      <c r="H122" s="15"/>
      <c r="I122" s="16"/>
      <c r="J122" s="16"/>
      <c r="K122" s="17"/>
      <c r="L122" s="25"/>
      <c r="M122" s="15"/>
    </row>
    <row r="123" spans="1:13" x14ac:dyDescent="0.25">
      <c r="A123" s="12"/>
      <c r="B123" s="15"/>
      <c r="C123" s="15"/>
      <c r="D123" s="15"/>
      <c r="E123" s="15"/>
      <c r="F123" s="15"/>
      <c r="G123" s="15"/>
      <c r="H123" s="15"/>
      <c r="I123" s="16"/>
      <c r="J123" s="16"/>
      <c r="K123" s="17"/>
      <c r="L123" s="25"/>
      <c r="M123" s="15"/>
    </row>
    <row r="124" spans="1:13" x14ac:dyDescent="0.25">
      <c r="A124" s="12"/>
      <c r="B124" s="12"/>
      <c r="C124" s="12"/>
      <c r="D124" s="12"/>
      <c r="E124" s="12"/>
      <c r="F124" s="12"/>
      <c r="G124" s="12"/>
      <c r="H124" s="12"/>
      <c r="I124" s="13"/>
      <c r="J124" s="13"/>
      <c r="K124" s="14"/>
      <c r="L124" s="26"/>
      <c r="M124" s="12"/>
    </row>
    <row r="125" spans="1:13" x14ac:dyDescent="0.25">
      <c r="A125" s="12"/>
      <c r="B125" s="15"/>
      <c r="C125" s="15"/>
      <c r="D125" s="15"/>
      <c r="E125" s="15"/>
      <c r="F125" s="15"/>
      <c r="G125" s="15"/>
      <c r="H125" s="15"/>
      <c r="I125" s="16"/>
      <c r="J125" s="16"/>
      <c r="K125" s="17"/>
      <c r="L125" s="25"/>
      <c r="M125" s="15"/>
    </row>
    <row r="126" spans="1:13" x14ac:dyDescent="0.25">
      <c r="A126" s="12"/>
      <c r="B126" s="15"/>
      <c r="C126" s="15"/>
      <c r="D126" s="15"/>
      <c r="E126" s="15"/>
      <c r="F126" s="15"/>
      <c r="G126" s="15"/>
      <c r="H126" s="15"/>
      <c r="I126" s="16"/>
      <c r="J126" s="16"/>
      <c r="K126" s="17"/>
      <c r="L126" s="25"/>
      <c r="M126" s="15"/>
    </row>
    <row r="127" spans="1:13" x14ac:dyDescent="0.25">
      <c r="A127" s="12"/>
      <c r="B127" s="15"/>
      <c r="C127" s="15"/>
      <c r="D127" s="15"/>
      <c r="E127" s="15"/>
      <c r="F127" s="15"/>
      <c r="G127" s="15"/>
      <c r="H127" s="15"/>
      <c r="I127" s="16"/>
      <c r="J127" s="16"/>
      <c r="K127" s="17"/>
      <c r="L127" s="25"/>
      <c r="M127" s="15"/>
    </row>
    <row r="128" spans="1:13" x14ac:dyDescent="0.25">
      <c r="A128" s="12"/>
      <c r="B128" s="15"/>
      <c r="C128" s="15"/>
      <c r="D128" s="15"/>
      <c r="E128" s="15"/>
      <c r="F128" s="15"/>
      <c r="G128" s="15"/>
      <c r="H128" s="15"/>
      <c r="I128" s="16"/>
      <c r="J128" s="16"/>
      <c r="K128" s="17"/>
      <c r="L128" s="25"/>
      <c r="M128" s="15"/>
    </row>
    <row r="129" spans="1:13" x14ac:dyDescent="0.25">
      <c r="A129" s="15"/>
      <c r="B129" s="15"/>
      <c r="C129" s="15"/>
      <c r="D129" s="15"/>
      <c r="E129" s="15"/>
      <c r="F129" s="15"/>
      <c r="G129" s="15"/>
      <c r="H129" s="15"/>
      <c r="I129" s="16"/>
      <c r="J129" s="16"/>
      <c r="K129" s="17"/>
      <c r="L129" s="25"/>
      <c r="M129" s="15"/>
    </row>
    <row r="130" spans="1:13" x14ac:dyDescent="0.25">
      <c r="A130" s="15"/>
      <c r="B130" s="15"/>
      <c r="C130" s="15"/>
      <c r="D130" s="15"/>
      <c r="E130" s="15"/>
      <c r="F130" s="15"/>
      <c r="G130" s="15"/>
      <c r="H130" s="15"/>
      <c r="I130" s="16"/>
      <c r="J130" s="16"/>
      <c r="K130" s="17"/>
      <c r="L130" s="25"/>
      <c r="M130" s="15"/>
    </row>
    <row r="131" spans="1:13" x14ac:dyDescent="0.25">
      <c r="A131" s="15"/>
      <c r="B131" s="15"/>
      <c r="C131" s="15"/>
      <c r="D131" s="15"/>
      <c r="E131" s="15"/>
      <c r="F131" s="15"/>
      <c r="G131" s="15"/>
      <c r="H131" s="15"/>
      <c r="I131" s="16"/>
      <c r="J131" s="16"/>
      <c r="K131" s="17"/>
      <c r="L131" s="25"/>
      <c r="M131" s="15"/>
    </row>
    <row r="132" spans="1:13" x14ac:dyDescent="0.25">
      <c r="A132" s="12"/>
      <c r="B132" s="12"/>
      <c r="C132" s="15"/>
      <c r="D132" s="15"/>
      <c r="E132" s="12"/>
      <c r="F132" s="12"/>
      <c r="G132" s="12"/>
      <c r="H132" s="12"/>
      <c r="I132" s="13"/>
      <c r="J132" s="13"/>
      <c r="K132" s="14"/>
      <c r="L132" s="42"/>
      <c r="M132" s="14"/>
    </row>
    <row r="133" spans="1:13" x14ac:dyDescent="0.25">
      <c r="A133" s="12"/>
      <c r="B133" s="12"/>
      <c r="C133" s="12"/>
      <c r="D133" s="12"/>
      <c r="E133" s="12"/>
      <c r="F133" s="12"/>
      <c r="G133" s="12"/>
      <c r="H133" s="12"/>
      <c r="I133" s="13"/>
      <c r="J133" s="13"/>
      <c r="K133" s="14"/>
      <c r="L133" s="42"/>
      <c r="M133" s="12"/>
    </row>
    <row r="134" spans="1:13" x14ac:dyDescent="0.25">
      <c r="A134" s="12"/>
      <c r="B134" s="12"/>
      <c r="C134" s="12"/>
      <c r="D134" s="12"/>
      <c r="E134" s="12"/>
      <c r="F134" s="12"/>
      <c r="G134" s="12"/>
      <c r="H134" s="12"/>
      <c r="I134" s="13"/>
      <c r="J134" s="13"/>
      <c r="K134" s="14"/>
      <c r="L134" s="26"/>
      <c r="M134" s="12"/>
    </row>
    <row r="135" spans="1:13" x14ac:dyDescent="0.25">
      <c r="A135" s="12"/>
      <c r="B135" s="12"/>
      <c r="C135" s="12"/>
      <c r="D135" s="12"/>
      <c r="E135" s="12"/>
      <c r="F135" s="12"/>
      <c r="G135" s="12"/>
      <c r="H135" s="12"/>
      <c r="I135" s="13"/>
      <c r="J135" s="13"/>
      <c r="K135" s="14"/>
      <c r="L135" s="26"/>
      <c r="M135" s="12"/>
    </row>
    <row r="136" spans="1:13" x14ac:dyDescent="0.25">
      <c r="A136" s="12"/>
      <c r="B136" s="12"/>
      <c r="C136" s="12"/>
      <c r="D136" s="12"/>
      <c r="E136" s="12"/>
      <c r="F136" s="12"/>
      <c r="G136" s="12"/>
      <c r="H136" s="12"/>
      <c r="I136" s="13"/>
      <c r="J136" s="13"/>
      <c r="K136" s="14"/>
      <c r="L136" s="26"/>
      <c r="M136" s="12"/>
    </row>
    <row r="137" spans="1:13" x14ac:dyDescent="0.25">
      <c r="A137" s="12"/>
      <c r="B137" s="12"/>
      <c r="C137" s="12"/>
      <c r="D137" s="12"/>
      <c r="E137" s="12"/>
      <c r="F137" s="12"/>
      <c r="G137" s="12"/>
      <c r="H137" s="12"/>
      <c r="I137" s="13"/>
      <c r="J137" s="13"/>
      <c r="K137" s="14"/>
      <c r="L137" s="26"/>
      <c r="M137" s="12"/>
    </row>
    <row r="138" spans="1:13" x14ac:dyDescent="0.25">
      <c r="A138" s="12"/>
      <c r="B138" s="12"/>
      <c r="C138" s="12"/>
      <c r="D138" s="12"/>
      <c r="E138" s="12"/>
      <c r="F138" s="12"/>
      <c r="G138" s="12"/>
      <c r="H138" s="12"/>
      <c r="I138" s="13"/>
      <c r="J138" s="13"/>
      <c r="K138" s="14"/>
      <c r="L138" s="26"/>
      <c r="M138" s="12"/>
    </row>
    <row r="139" spans="1:13" x14ac:dyDescent="0.25">
      <c r="A139" s="12"/>
      <c r="B139" s="15"/>
      <c r="C139" s="15"/>
      <c r="D139" s="15"/>
      <c r="E139" s="15"/>
      <c r="F139" s="15"/>
      <c r="G139" s="15"/>
      <c r="H139" s="15"/>
      <c r="I139" s="16"/>
      <c r="J139" s="16"/>
      <c r="K139" s="17"/>
      <c r="L139" s="25"/>
      <c r="M139" s="15"/>
    </row>
    <row r="140" spans="1:13" x14ac:dyDescent="0.25">
      <c r="A140" s="12"/>
      <c r="B140" s="15"/>
      <c r="C140" s="15"/>
      <c r="D140" s="15"/>
      <c r="E140" s="15"/>
      <c r="F140" s="15"/>
      <c r="G140" s="15"/>
      <c r="H140" s="15"/>
      <c r="I140" s="16"/>
      <c r="J140" s="16"/>
      <c r="K140" s="17"/>
      <c r="L140" s="25"/>
      <c r="M140" s="15"/>
    </row>
    <row r="141" spans="1:13" x14ac:dyDescent="0.25">
      <c r="A141" s="12"/>
      <c r="B141" s="15"/>
      <c r="C141" s="15"/>
      <c r="D141" s="15"/>
      <c r="E141" s="15"/>
      <c r="F141" s="15"/>
      <c r="G141" s="15"/>
      <c r="H141" s="15"/>
      <c r="I141" s="16"/>
      <c r="J141" s="16"/>
      <c r="K141" s="17"/>
      <c r="L141" s="25"/>
      <c r="M141" s="15"/>
    </row>
    <row r="142" spans="1:13" x14ac:dyDescent="0.25">
      <c r="A142" s="12"/>
      <c r="B142" s="12"/>
      <c r="C142" s="12"/>
      <c r="D142" s="12"/>
      <c r="E142" s="12"/>
      <c r="F142" s="12"/>
      <c r="G142" s="12"/>
      <c r="H142" s="12"/>
      <c r="I142" s="13"/>
      <c r="J142" s="13"/>
      <c r="K142" s="14"/>
      <c r="L142" s="26"/>
      <c r="M142" s="12"/>
    </row>
    <row r="143" spans="1:13" x14ac:dyDescent="0.25">
      <c r="A143" s="12"/>
      <c r="B143" s="15"/>
      <c r="C143" s="15"/>
      <c r="D143" s="15"/>
      <c r="E143" s="15"/>
      <c r="F143" s="15"/>
      <c r="G143" s="15"/>
      <c r="H143" s="15"/>
      <c r="I143" s="16"/>
      <c r="J143" s="16"/>
      <c r="K143" s="17"/>
      <c r="L143" s="25"/>
      <c r="M143" s="15"/>
    </row>
    <row r="144" spans="1:13" x14ac:dyDescent="0.25">
      <c r="A144" s="12"/>
      <c r="B144" s="15"/>
      <c r="C144" s="15"/>
      <c r="D144" s="15"/>
      <c r="E144" s="15"/>
      <c r="F144" s="15"/>
      <c r="G144" s="15"/>
      <c r="H144" s="15"/>
      <c r="I144" s="16"/>
      <c r="J144" s="16"/>
      <c r="K144" s="17"/>
      <c r="L144" s="25"/>
      <c r="M144" s="15"/>
    </row>
    <row r="145" spans="1:13" x14ac:dyDescent="0.25">
      <c r="A145" s="12"/>
      <c r="B145" s="12"/>
      <c r="C145" s="15"/>
      <c r="D145" s="12"/>
      <c r="E145" s="12"/>
      <c r="F145" s="12"/>
      <c r="G145" s="12"/>
      <c r="H145" s="12"/>
      <c r="I145" s="13"/>
      <c r="J145" s="13"/>
      <c r="K145" s="14"/>
      <c r="L145" s="42"/>
      <c r="M145" s="14"/>
    </row>
    <row r="146" spans="1:13" x14ac:dyDescent="0.25">
      <c r="A146" s="12"/>
      <c r="B146" s="12"/>
      <c r="C146" s="12"/>
      <c r="D146" s="12"/>
      <c r="E146" s="12"/>
      <c r="F146" s="12"/>
      <c r="G146" s="12"/>
      <c r="H146" s="12"/>
      <c r="I146" s="13"/>
      <c r="J146" s="13"/>
      <c r="K146" s="14"/>
      <c r="L146" s="42"/>
      <c r="M146" s="12"/>
    </row>
    <row r="147" spans="1:13" x14ac:dyDescent="0.25">
      <c r="A147" s="12"/>
      <c r="B147" s="12"/>
      <c r="C147" s="12"/>
      <c r="D147" s="12"/>
      <c r="E147" s="12"/>
      <c r="F147" s="12"/>
      <c r="G147" s="12"/>
      <c r="H147" s="12"/>
      <c r="I147" s="13"/>
      <c r="J147" s="13"/>
      <c r="K147" s="14"/>
      <c r="L147" s="26"/>
      <c r="M147" s="12"/>
    </row>
    <row r="148" spans="1:13" x14ac:dyDescent="0.25">
      <c r="A148" s="12"/>
      <c r="B148" s="12"/>
      <c r="C148" s="12"/>
      <c r="D148" s="12"/>
      <c r="E148" s="12"/>
      <c r="F148" s="12"/>
      <c r="G148" s="12"/>
      <c r="H148" s="12"/>
      <c r="I148" s="13"/>
      <c r="J148" s="13"/>
      <c r="K148" s="14"/>
      <c r="L148" s="26"/>
      <c r="M148" s="12"/>
    </row>
    <row r="149" spans="1:13" x14ac:dyDescent="0.25">
      <c r="A149" s="12"/>
      <c r="B149" s="12"/>
      <c r="C149" s="12"/>
      <c r="D149" s="12"/>
      <c r="E149" s="12"/>
      <c r="F149" s="12"/>
      <c r="G149" s="12"/>
      <c r="H149" s="12"/>
      <c r="I149" s="13"/>
      <c r="J149" s="13"/>
      <c r="K149" s="14"/>
      <c r="L149" s="26"/>
      <c r="M149" s="12"/>
    </row>
    <row r="150" spans="1:13" x14ac:dyDescent="0.25">
      <c r="A150" s="12"/>
      <c r="B150" s="12"/>
      <c r="C150" s="12"/>
      <c r="D150" s="12"/>
      <c r="E150" s="12"/>
      <c r="F150" s="12"/>
      <c r="G150" s="12"/>
      <c r="H150" s="12"/>
      <c r="I150" s="13"/>
      <c r="J150" s="13"/>
      <c r="K150" s="14"/>
      <c r="L150" s="26"/>
      <c r="M150" s="12"/>
    </row>
    <row r="151" spans="1:13" x14ac:dyDescent="0.25">
      <c r="A151" s="12"/>
      <c r="B151" s="12"/>
      <c r="C151" s="12"/>
      <c r="D151" s="12"/>
      <c r="E151" s="12"/>
      <c r="F151" s="12"/>
      <c r="G151" s="12"/>
      <c r="H151" s="12"/>
      <c r="I151" s="13"/>
      <c r="J151" s="13"/>
      <c r="K151" s="14"/>
      <c r="L151" s="26"/>
      <c r="M151" s="12"/>
    </row>
    <row r="152" spans="1:13" x14ac:dyDescent="0.25">
      <c r="A152" s="12"/>
      <c r="B152" s="15"/>
      <c r="C152" s="15"/>
      <c r="D152" s="15"/>
      <c r="E152" s="15"/>
      <c r="F152" s="15"/>
      <c r="G152" s="15"/>
      <c r="H152" s="15"/>
      <c r="I152" s="16"/>
      <c r="J152" s="16"/>
      <c r="K152" s="17"/>
      <c r="L152" s="25"/>
      <c r="M152" s="15"/>
    </row>
    <row r="153" spans="1:13" x14ac:dyDescent="0.25">
      <c r="A153" s="12"/>
      <c r="B153" s="15"/>
      <c r="C153" s="15"/>
      <c r="D153" s="15"/>
      <c r="E153" s="15"/>
      <c r="F153" s="15"/>
      <c r="G153" s="15"/>
      <c r="H153" s="15"/>
      <c r="I153" s="16"/>
      <c r="J153" s="16"/>
      <c r="K153" s="17"/>
      <c r="L153" s="25"/>
      <c r="M153" s="15"/>
    </row>
    <row r="154" spans="1:13" x14ac:dyDescent="0.25">
      <c r="A154" s="12"/>
      <c r="B154" s="15"/>
      <c r="C154" s="15"/>
      <c r="D154" s="15"/>
      <c r="E154" s="15"/>
      <c r="F154" s="15"/>
      <c r="G154" s="15"/>
      <c r="H154" s="15"/>
      <c r="I154" s="16"/>
      <c r="J154" s="16"/>
      <c r="K154" s="17"/>
      <c r="L154" s="25"/>
      <c r="M154" s="15"/>
    </row>
    <row r="155" spans="1:13" x14ac:dyDescent="0.25">
      <c r="A155" s="12"/>
      <c r="B155" s="12"/>
      <c r="C155" s="12"/>
      <c r="D155" s="12"/>
      <c r="E155" s="12"/>
      <c r="F155" s="12"/>
      <c r="G155" s="12"/>
      <c r="H155" s="12"/>
      <c r="I155" s="13"/>
      <c r="J155" s="13"/>
      <c r="K155" s="14"/>
      <c r="L155" s="26"/>
      <c r="M155" s="22"/>
    </row>
    <row r="156" spans="1:13" x14ac:dyDescent="0.25">
      <c r="A156" s="12"/>
      <c r="B156" s="15"/>
      <c r="C156" s="15"/>
      <c r="D156" s="15"/>
      <c r="E156" s="15"/>
      <c r="F156" s="15"/>
      <c r="G156" s="15"/>
      <c r="H156" s="15"/>
      <c r="I156" s="16"/>
      <c r="J156" s="16"/>
      <c r="K156" s="17"/>
      <c r="L156" s="25"/>
      <c r="M156" s="15"/>
    </row>
    <row r="157" spans="1:13" x14ac:dyDescent="0.25">
      <c r="A157" s="12"/>
      <c r="B157" s="15"/>
      <c r="C157" s="15"/>
      <c r="D157" s="15"/>
      <c r="E157" s="15"/>
      <c r="F157" s="15"/>
      <c r="G157" s="15"/>
      <c r="H157" s="15"/>
      <c r="I157" s="16"/>
      <c r="J157" s="16"/>
      <c r="K157" s="17"/>
      <c r="L157" s="25"/>
      <c r="M157" s="15"/>
    </row>
    <row r="158" spans="1:13" x14ac:dyDescent="0.25">
      <c r="A158" s="12"/>
      <c r="B158" s="15"/>
      <c r="C158" s="15"/>
      <c r="D158" s="15"/>
      <c r="E158" s="15"/>
      <c r="F158" s="15"/>
      <c r="G158" s="15"/>
      <c r="H158" s="15"/>
      <c r="I158" s="16"/>
      <c r="J158" s="16"/>
      <c r="K158" s="17"/>
      <c r="L158" s="25"/>
      <c r="M158" s="15"/>
    </row>
    <row r="159" spans="1:13" x14ac:dyDescent="0.25">
      <c r="A159" s="12"/>
      <c r="B159" s="12"/>
      <c r="C159" s="15"/>
      <c r="D159" s="15"/>
      <c r="E159" s="15"/>
      <c r="F159" s="15"/>
      <c r="G159" s="15"/>
      <c r="H159" s="15"/>
      <c r="I159" s="16"/>
      <c r="J159" s="16"/>
      <c r="K159" s="17"/>
      <c r="L159" s="25"/>
      <c r="M159" s="15"/>
    </row>
    <row r="160" spans="1:13" x14ac:dyDescent="0.25">
      <c r="A160" s="12"/>
      <c r="B160" s="15"/>
      <c r="C160" s="15"/>
      <c r="D160" s="15"/>
      <c r="E160" s="15"/>
      <c r="F160" s="15"/>
      <c r="G160" s="15"/>
      <c r="H160" s="15"/>
      <c r="I160" s="16"/>
      <c r="J160" s="16"/>
      <c r="K160" s="17"/>
      <c r="L160" s="25"/>
      <c r="M160" s="15"/>
    </row>
    <row r="161" spans="1:13" x14ac:dyDescent="0.25">
      <c r="A161" s="15"/>
      <c r="B161" s="15"/>
      <c r="C161" s="15"/>
      <c r="D161" s="15"/>
      <c r="E161" s="15"/>
      <c r="F161" s="15"/>
      <c r="G161" s="15"/>
      <c r="H161" s="15"/>
      <c r="I161" s="16"/>
      <c r="J161" s="16"/>
      <c r="K161" s="17"/>
      <c r="L161" s="25"/>
      <c r="M161" s="15"/>
    </row>
    <row r="162" spans="1:13" x14ac:dyDescent="0.25">
      <c r="A162" s="15"/>
      <c r="B162" s="15"/>
      <c r="C162" s="15"/>
      <c r="D162" s="15"/>
      <c r="E162" s="15"/>
      <c r="F162" s="15"/>
      <c r="G162" s="15"/>
      <c r="H162" s="15"/>
      <c r="I162" s="16"/>
      <c r="J162" s="16"/>
      <c r="K162" s="17"/>
      <c r="L162" s="25"/>
      <c r="M162" s="15"/>
    </row>
    <row r="163" spans="1:13" x14ac:dyDescent="0.25">
      <c r="A163" s="15"/>
      <c r="B163" s="15"/>
      <c r="C163" s="15"/>
      <c r="D163" s="15"/>
      <c r="E163" s="15"/>
      <c r="F163" s="15"/>
      <c r="G163" s="15"/>
      <c r="H163" s="15"/>
      <c r="I163" s="16"/>
      <c r="J163" s="16"/>
      <c r="K163" s="17"/>
      <c r="L163" s="25"/>
      <c r="M163" s="15"/>
    </row>
    <row r="164" spans="1:13" x14ac:dyDescent="0.25">
      <c r="A164" s="15"/>
      <c r="B164" s="15"/>
      <c r="C164" s="15"/>
      <c r="D164" s="15"/>
      <c r="E164" s="15"/>
      <c r="F164" s="15"/>
      <c r="G164" s="15"/>
      <c r="H164" s="15"/>
      <c r="I164" s="16"/>
      <c r="J164" s="16"/>
      <c r="K164" s="17"/>
      <c r="L164" s="25"/>
      <c r="M164" s="15"/>
    </row>
    <row r="165" spans="1:13" x14ac:dyDescent="0.25">
      <c r="A165" s="15"/>
      <c r="B165" s="15"/>
      <c r="C165" s="15"/>
      <c r="D165" s="15"/>
      <c r="E165" s="15"/>
      <c r="F165" s="15"/>
      <c r="G165" s="15"/>
      <c r="H165" s="15"/>
      <c r="I165" s="16"/>
      <c r="J165" s="16"/>
      <c r="K165" s="17"/>
      <c r="L165" s="25"/>
      <c r="M165" s="15"/>
    </row>
    <row r="166" spans="1:13" x14ac:dyDescent="0.25">
      <c r="A166" s="15"/>
      <c r="B166" s="15"/>
      <c r="C166" s="15"/>
      <c r="D166" s="15"/>
      <c r="E166" s="15"/>
      <c r="F166" s="15"/>
      <c r="G166" s="15"/>
      <c r="H166" s="15"/>
      <c r="I166" s="13"/>
      <c r="J166" s="13"/>
      <c r="K166" s="17"/>
      <c r="L166" s="26"/>
      <c r="M166" s="12"/>
    </row>
    <row r="167" spans="1:13" x14ac:dyDescent="0.25">
      <c r="A167" s="12"/>
      <c r="B167" s="12"/>
      <c r="C167" s="15"/>
      <c r="D167" s="12"/>
      <c r="E167" s="12"/>
      <c r="F167" s="12"/>
      <c r="G167" s="12"/>
      <c r="H167" s="12"/>
      <c r="I167" s="13"/>
      <c r="J167" s="13"/>
      <c r="K167" s="14"/>
      <c r="L167" s="42"/>
      <c r="M167" s="14"/>
    </row>
    <row r="168" spans="1:13" x14ac:dyDescent="0.25">
      <c r="A168" s="12"/>
      <c r="B168" s="12"/>
      <c r="C168" s="12"/>
      <c r="D168" s="12"/>
      <c r="E168" s="12"/>
      <c r="F168" s="12"/>
      <c r="G168" s="12"/>
      <c r="H168" s="12"/>
      <c r="I168" s="13"/>
      <c r="J168" s="13"/>
      <c r="K168" s="14"/>
      <c r="L168" s="42"/>
      <c r="M168" s="12"/>
    </row>
    <row r="169" spans="1:13" x14ac:dyDescent="0.25">
      <c r="A169" s="12"/>
      <c r="B169" s="12"/>
      <c r="C169" s="12"/>
      <c r="D169" s="12"/>
      <c r="E169" s="12"/>
      <c r="F169" s="12"/>
      <c r="G169" s="12"/>
      <c r="H169" s="12"/>
      <c r="I169" s="13"/>
      <c r="J169" s="13"/>
      <c r="K169" s="14"/>
      <c r="L169" s="26"/>
      <c r="M169" s="12"/>
    </row>
    <row r="170" spans="1:13" x14ac:dyDescent="0.25">
      <c r="A170" s="12"/>
      <c r="B170" s="12"/>
      <c r="C170" s="12"/>
      <c r="D170" s="12"/>
      <c r="E170" s="12"/>
      <c r="F170" s="12"/>
      <c r="G170" s="12"/>
      <c r="H170" s="12"/>
      <c r="I170" s="13"/>
      <c r="J170" s="13"/>
      <c r="K170" s="14"/>
      <c r="L170" s="26"/>
      <c r="M170" s="12"/>
    </row>
    <row r="171" spans="1:13" x14ac:dyDescent="0.25">
      <c r="A171" s="12"/>
      <c r="B171" s="12"/>
      <c r="C171" s="12"/>
      <c r="D171" s="12"/>
      <c r="E171" s="12"/>
      <c r="F171" s="12"/>
      <c r="G171" s="12"/>
      <c r="H171" s="12"/>
      <c r="I171" s="13"/>
      <c r="J171" s="13"/>
      <c r="K171" s="14"/>
      <c r="L171" s="26"/>
      <c r="M171" s="12"/>
    </row>
    <row r="172" spans="1:13" x14ac:dyDescent="0.25">
      <c r="A172" s="12"/>
      <c r="B172" s="12"/>
      <c r="C172" s="12"/>
      <c r="D172" s="12"/>
      <c r="E172" s="12"/>
      <c r="F172" s="12"/>
      <c r="G172" s="12"/>
      <c r="H172" s="12"/>
      <c r="I172" s="13"/>
      <c r="J172" s="13"/>
      <c r="K172" s="14"/>
      <c r="L172" s="42"/>
      <c r="M172" s="14"/>
    </row>
    <row r="173" spans="1:13" x14ac:dyDescent="0.25">
      <c r="A173" s="12"/>
      <c r="B173" s="12"/>
      <c r="C173" s="12"/>
      <c r="D173" s="12"/>
      <c r="E173" s="12"/>
      <c r="F173" s="12"/>
      <c r="G173" s="12"/>
      <c r="H173" s="12"/>
      <c r="I173" s="13"/>
      <c r="J173" s="13"/>
      <c r="K173" s="14"/>
      <c r="L173" s="42"/>
      <c r="M173" s="12"/>
    </row>
    <row r="174" spans="1:13" x14ac:dyDescent="0.25">
      <c r="A174" s="12"/>
      <c r="B174" s="12"/>
      <c r="C174" s="12"/>
      <c r="D174" s="12"/>
      <c r="E174" s="12"/>
      <c r="F174" s="12"/>
      <c r="G174" s="12"/>
      <c r="H174" s="12"/>
      <c r="I174" s="13"/>
      <c r="J174" s="13"/>
      <c r="K174" s="14"/>
      <c r="L174" s="26"/>
      <c r="M174" s="12"/>
    </row>
    <row r="175" spans="1:13" x14ac:dyDescent="0.25">
      <c r="A175" s="12"/>
      <c r="B175" s="12"/>
      <c r="C175" s="12"/>
      <c r="D175" s="12"/>
      <c r="E175" s="12"/>
      <c r="F175" s="12"/>
      <c r="G175" s="12"/>
      <c r="H175" s="12"/>
      <c r="I175" s="13"/>
      <c r="J175" s="13"/>
      <c r="K175" s="14"/>
      <c r="L175" s="26"/>
      <c r="M175" s="12"/>
    </row>
    <row r="176" spans="1:13" x14ac:dyDescent="0.25">
      <c r="A176" s="12"/>
      <c r="B176" s="12"/>
      <c r="C176" s="12"/>
      <c r="D176" s="12"/>
      <c r="E176" s="12"/>
      <c r="F176" s="12"/>
      <c r="G176" s="12"/>
      <c r="H176" s="12"/>
      <c r="I176" s="13"/>
      <c r="J176" s="13"/>
      <c r="K176" s="14"/>
      <c r="L176" s="26"/>
      <c r="M176" s="12"/>
    </row>
    <row r="177" spans="1:13" x14ac:dyDescent="0.25">
      <c r="A177" s="12"/>
      <c r="B177" s="12"/>
      <c r="C177" s="12"/>
      <c r="D177" s="12"/>
      <c r="E177" s="12"/>
      <c r="F177" s="12"/>
      <c r="G177" s="12"/>
      <c r="H177" s="12"/>
      <c r="I177" s="13"/>
      <c r="J177" s="13"/>
      <c r="K177" s="14"/>
      <c r="L177" s="26"/>
      <c r="M177" s="12"/>
    </row>
    <row r="178" spans="1:13" x14ac:dyDescent="0.25">
      <c r="A178" s="12"/>
      <c r="B178" s="12"/>
      <c r="C178" s="12"/>
      <c r="D178" s="12"/>
      <c r="E178" s="12"/>
      <c r="F178" s="12"/>
      <c r="G178" s="12"/>
      <c r="H178" s="12"/>
      <c r="I178" s="13"/>
      <c r="J178" s="13"/>
      <c r="K178" s="14"/>
      <c r="L178" s="26"/>
      <c r="M178" s="12"/>
    </row>
    <row r="179" spans="1:13" x14ac:dyDescent="0.25">
      <c r="A179" s="12"/>
      <c r="B179" s="15"/>
      <c r="C179" s="15"/>
      <c r="D179" s="15"/>
      <c r="E179" s="15"/>
      <c r="F179" s="15"/>
      <c r="G179" s="15"/>
      <c r="H179" s="15"/>
      <c r="I179" s="16"/>
      <c r="J179" s="16"/>
      <c r="K179" s="17"/>
      <c r="L179" s="25"/>
      <c r="M179" s="15"/>
    </row>
    <row r="180" spans="1:13" x14ac:dyDescent="0.25">
      <c r="A180" s="12"/>
      <c r="B180" s="15"/>
      <c r="C180" s="15"/>
      <c r="D180" s="15"/>
      <c r="E180" s="15"/>
      <c r="F180" s="15"/>
      <c r="G180" s="15"/>
      <c r="H180" s="15"/>
      <c r="I180" s="16"/>
      <c r="J180" s="16"/>
      <c r="K180" s="17"/>
      <c r="L180" s="25"/>
      <c r="M180" s="15"/>
    </row>
    <row r="181" spans="1:13" x14ac:dyDescent="0.25">
      <c r="A181" s="12"/>
      <c r="B181" s="15"/>
      <c r="C181" s="15"/>
      <c r="D181" s="15"/>
      <c r="E181" s="15"/>
      <c r="F181" s="15"/>
      <c r="G181" s="15"/>
      <c r="H181" s="15"/>
      <c r="I181" s="16"/>
      <c r="J181" s="16"/>
      <c r="K181" s="17"/>
      <c r="L181" s="25"/>
      <c r="M181" s="15"/>
    </row>
    <row r="182" spans="1:13" x14ac:dyDescent="0.25">
      <c r="A182" s="12"/>
      <c r="B182" s="12"/>
      <c r="C182" s="12"/>
      <c r="D182" s="12"/>
      <c r="E182" s="12"/>
      <c r="F182" s="12"/>
      <c r="G182" s="12"/>
      <c r="H182" s="12"/>
      <c r="I182" s="13"/>
      <c r="J182" s="13"/>
      <c r="K182" s="14"/>
      <c r="L182" s="26"/>
      <c r="M182" s="12"/>
    </row>
    <row r="183" spans="1:13" x14ac:dyDescent="0.25">
      <c r="A183" s="12"/>
      <c r="B183" s="15"/>
      <c r="C183" s="15"/>
      <c r="D183" s="15"/>
      <c r="E183" s="15"/>
      <c r="F183" s="15"/>
      <c r="G183" s="15"/>
      <c r="H183" s="15"/>
      <c r="I183" s="16"/>
      <c r="J183" s="16"/>
      <c r="K183" s="17"/>
      <c r="L183" s="25"/>
      <c r="M183" s="15"/>
    </row>
    <row r="184" spans="1:13" x14ac:dyDescent="0.25">
      <c r="A184" s="12"/>
      <c r="B184" s="15"/>
      <c r="C184" s="15"/>
      <c r="D184" s="15"/>
      <c r="E184" s="15"/>
      <c r="F184" s="15"/>
      <c r="G184" s="15"/>
      <c r="H184" s="15"/>
      <c r="I184" s="16"/>
      <c r="J184" s="16"/>
      <c r="K184" s="17"/>
      <c r="L184" s="25"/>
      <c r="M184" s="15"/>
    </row>
    <row r="185" spans="1:13" x14ac:dyDescent="0.25">
      <c r="A185" s="12"/>
      <c r="B185" s="15"/>
      <c r="C185" s="15"/>
      <c r="D185" s="15"/>
      <c r="E185" s="15"/>
      <c r="F185" s="15"/>
      <c r="G185" s="15"/>
      <c r="H185" s="15"/>
      <c r="I185" s="16"/>
      <c r="J185" s="16"/>
      <c r="K185" s="17"/>
      <c r="L185" s="25"/>
      <c r="M185" s="15"/>
    </row>
    <row r="186" spans="1:13" x14ac:dyDescent="0.25">
      <c r="A186" s="12"/>
      <c r="B186" s="15"/>
      <c r="C186" s="15"/>
      <c r="D186" s="15"/>
      <c r="E186" s="15"/>
      <c r="F186" s="15"/>
      <c r="G186" s="15"/>
      <c r="H186" s="15"/>
      <c r="I186" s="16"/>
      <c r="J186" s="16"/>
      <c r="K186" s="17"/>
      <c r="L186" s="25"/>
      <c r="M186" s="15"/>
    </row>
    <row r="187" spans="1:13" x14ac:dyDescent="0.25">
      <c r="A187" s="12"/>
      <c r="B187" s="15"/>
      <c r="C187" s="15"/>
      <c r="D187" s="15"/>
      <c r="E187" s="15"/>
      <c r="F187" s="15"/>
      <c r="G187" s="15"/>
      <c r="H187" s="15"/>
      <c r="I187" s="16"/>
      <c r="J187" s="16"/>
      <c r="K187" s="17"/>
      <c r="L187" s="25"/>
      <c r="M187" s="15"/>
    </row>
    <row r="188" spans="1:13" x14ac:dyDescent="0.25">
      <c r="A188" s="15"/>
      <c r="B188" s="15"/>
      <c r="C188" s="15"/>
      <c r="D188" s="15"/>
      <c r="E188" s="15"/>
      <c r="F188" s="15"/>
      <c r="G188" s="15"/>
      <c r="H188" s="15"/>
      <c r="I188" s="16"/>
      <c r="J188" s="16"/>
      <c r="K188" s="17"/>
      <c r="L188" s="25"/>
      <c r="M188" s="15"/>
    </row>
    <row r="189" spans="1:13" x14ac:dyDescent="0.25">
      <c r="A189" s="15"/>
      <c r="B189" s="15"/>
      <c r="C189" s="15"/>
      <c r="D189" s="15"/>
      <c r="E189" s="15"/>
      <c r="F189" s="15"/>
      <c r="G189" s="15"/>
      <c r="H189" s="15"/>
      <c r="I189" s="16"/>
      <c r="J189" s="16"/>
      <c r="K189" s="17"/>
      <c r="L189" s="25"/>
      <c r="M189" s="15"/>
    </row>
    <row r="190" spans="1:13" x14ac:dyDescent="0.25">
      <c r="A190" s="15"/>
      <c r="B190" s="15"/>
      <c r="C190" s="15"/>
      <c r="D190" s="15"/>
      <c r="E190" s="15"/>
      <c r="F190" s="15"/>
      <c r="G190" s="15"/>
      <c r="H190" s="15"/>
      <c r="I190" s="16"/>
      <c r="J190" s="16"/>
      <c r="K190" s="17"/>
      <c r="L190" s="25"/>
      <c r="M190" s="15"/>
    </row>
    <row r="191" spans="1:13" x14ac:dyDescent="0.25">
      <c r="A191" s="15"/>
      <c r="B191" s="15"/>
      <c r="C191" s="15"/>
      <c r="D191" s="15"/>
      <c r="E191" s="15"/>
      <c r="F191" s="15"/>
      <c r="G191" s="15"/>
      <c r="H191" s="15"/>
      <c r="I191" s="16"/>
      <c r="J191" s="16"/>
      <c r="K191" s="17"/>
      <c r="L191" s="25"/>
      <c r="M191" s="15"/>
    </row>
    <row r="192" spans="1:13" x14ac:dyDescent="0.25">
      <c r="A192" s="15"/>
      <c r="B192" s="15"/>
      <c r="C192" s="15"/>
      <c r="D192" s="15"/>
      <c r="E192" s="15"/>
      <c r="F192" s="15"/>
      <c r="G192" s="15"/>
      <c r="H192" s="15"/>
      <c r="I192" s="16"/>
      <c r="J192" s="16"/>
      <c r="K192" s="17"/>
      <c r="L192" s="25"/>
      <c r="M192" s="15"/>
    </row>
    <row r="193" spans="1:13" x14ac:dyDescent="0.25">
      <c r="A193" s="15"/>
      <c r="B193" s="15"/>
      <c r="C193" s="15"/>
      <c r="D193" s="15"/>
      <c r="E193" s="15"/>
      <c r="F193" s="15"/>
      <c r="G193" s="15"/>
      <c r="H193" s="15"/>
      <c r="I193" s="13"/>
      <c r="J193" s="13"/>
      <c r="K193" s="17"/>
      <c r="L193" s="26"/>
      <c r="M193" s="12"/>
    </row>
  </sheetData>
  <autoFilter ref="A6:M113" xr:uid="{A99DB305-C1E6-4D64-95CA-DB9B60E65717}"/>
  <mergeCells count="10">
    <mergeCell ref="B3:K3"/>
    <mergeCell ref="A7:M7"/>
    <mergeCell ref="A16:M16"/>
    <mergeCell ref="A34:M34"/>
    <mergeCell ref="A57:M57"/>
    <mergeCell ref="A102:M102"/>
    <mergeCell ref="A109:M109"/>
    <mergeCell ref="A98:M98"/>
    <mergeCell ref="A85:M85"/>
    <mergeCell ref="A68:M68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3A73-7898-4873-B50F-8116EF2C6CED}">
  <sheetPr>
    <tabColor theme="9" tint="0.79998168889431442"/>
  </sheetPr>
  <dimension ref="B2:E86"/>
  <sheetViews>
    <sheetView topLeftCell="A49" workbookViewId="0">
      <selection activeCell="G49" sqref="G1:G1048576"/>
    </sheetView>
  </sheetViews>
  <sheetFormatPr baseColWidth="10" defaultRowHeight="15" x14ac:dyDescent="0.25"/>
  <cols>
    <col min="2" max="2" width="6.42578125" customWidth="1"/>
    <col min="3" max="3" width="20.7109375" bestFit="1" customWidth="1"/>
    <col min="4" max="4" width="14" customWidth="1"/>
    <col min="5" max="5" width="14.42578125" customWidth="1"/>
  </cols>
  <sheetData>
    <row r="2" spans="2:5" x14ac:dyDescent="0.25">
      <c r="B2" s="29"/>
      <c r="C2" s="29"/>
      <c r="D2" s="29"/>
      <c r="E2" s="29"/>
    </row>
    <row r="3" spans="2:5" x14ac:dyDescent="0.25">
      <c r="B3" s="29"/>
      <c r="C3" s="29"/>
      <c r="D3" s="29"/>
      <c r="E3" s="29"/>
    </row>
    <row r="4" spans="2:5" x14ac:dyDescent="0.25">
      <c r="B4" s="29"/>
      <c r="C4" s="29"/>
      <c r="D4" s="29"/>
      <c r="E4" s="29"/>
    </row>
    <row r="5" spans="2:5" x14ac:dyDescent="0.25">
      <c r="B5" s="29"/>
      <c r="C5" s="29"/>
      <c r="D5" s="29"/>
      <c r="E5" s="29"/>
    </row>
    <row r="6" spans="2:5" ht="15.75" thickBot="1" x14ac:dyDescent="0.3">
      <c r="B6" s="29"/>
      <c r="C6" s="29"/>
      <c r="D6" s="29"/>
      <c r="E6" s="29"/>
    </row>
    <row r="7" spans="2:5" ht="30.75" thickBot="1" x14ac:dyDescent="0.3">
      <c r="B7" s="30" t="s">
        <v>2</v>
      </c>
      <c r="C7" s="31" t="s">
        <v>3</v>
      </c>
      <c r="D7" s="31" t="s">
        <v>68</v>
      </c>
      <c r="E7" s="29"/>
    </row>
    <row r="8" spans="2:5" ht="15.75" thickBot="1" x14ac:dyDescent="0.3">
      <c r="B8" s="136" t="s">
        <v>15</v>
      </c>
      <c r="C8" s="137"/>
      <c r="D8" s="138"/>
      <c r="E8" s="29"/>
    </row>
    <row r="9" spans="2:5" x14ac:dyDescent="0.25">
      <c r="B9" s="32">
        <v>1</v>
      </c>
      <c r="C9" s="19" t="s">
        <v>265</v>
      </c>
      <c r="D9" s="32">
        <v>1</v>
      </c>
      <c r="E9" s="29"/>
    </row>
    <row r="10" spans="2:5" x14ac:dyDescent="0.25">
      <c r="B10" s="22">
        <v>2</v>
      </c>
      <c r="C10" s="12" t="s">
        <v>16</v>
      </c>
      <c r="D10" s="22">
        <v>3</v>
      </c>
      <c r="E10" s="29"/>
    </row>
    <row r="11" spans="2:5" x14ac:dyDescent="0.25">
      <c r="B11" s="22">
        <v>3</v>
      </c>
      <c r="C11" s="12" t="s">
        <v>183</v>
      </c>
      <c r="D11" s="22">
        <v>1</v>
      </c>
      <c r="E11" s="29"/>
    </row>
    <row r="12" spans="2:5" x14ac:dyDescent="0.25">
      <c r="B12" s="22">
        <v>4</v>
      </c>
      <c r="C12" s="12" t="s">
        <v>22</v>
      </c>
      <c r="D12" s="22">
        <v>3</v>
      </c>
      <c r="E12" s="29"/>
    </row>
    <row r="13" spans="2:5" x14ac:dyDescent="0.25">
      <c r="B13" s="139" t="s">
        <v>69</v>
      </c>
      <c r="C13" s="139"/>
      <c r="D13" s="139"/>
      <c r="E13" s="33">
        <f>SUM(D9:D12)</f>
        <v>8</v>
      </c>
    </row>
    <row r="14" spans="2:5" ht="15.75" thickBot="1" x14ac:dyDescent="0.3">
      <c r="B14" s="136" t="s">
        <v>31</v>
      </c>
      <c r="C14" s="137"/>
      <c r="D14" s="138"/>
      <c r="E14" s="29"/>
    </row>
    <row r="15" spans="2:5" x14ac:dyDescent="0.25">
      <c r="B15" s="32">
        <v>1</v>
      </c>
      <c r="C15" s="19" t="s">
        <v>458</v>
      </c>
      <c r="D15" s="32">
        <v>5</v>
      </c>
      <c r="E15" s="29"/>
    </row>
    <row r="16" spans="2:5" x14ac:dyDescent="0.25">
      <c r="B16" s="32">
        <v>2</v>
      </c>
      <c r="C16" s="19" t="s">
        <v>469</v>
      </c>
      <c r="D16" s="32">
        <v>3</v>
      </c>
      <c r="E16" s="29"/>
    </row>
    <row r="17" spans="2:5" x14ac:dyDescent="0.25">
      <c r="B17" s="32">
        <v>3</v>
      </c>
      <c r="C17" s="19" t="s">
        <v>16</v>
      </c>
      <c r="D17" s="32">
        <v>5</v>
      </c>
      <c r="E17" s="29"/>
    </row>
    <row r="18" spans="2:5" x14ac:dyDescent="0.25">
      <c r="B18" s="32">
        <v>4</v>
      </c>
      <c r="C18" s="19" t="s">
        <v>265</v>
      </c>
      <c r="D18" s="32">
        <v>2</v>
      </c>
      <c r="E18" s="29"/>
    </row>
    <row r="19" spans="2:5" x14ac:dyDescent="0.25">
      <c r="B19" s="22">
        <v>5</v>
      </c>
      <c r="C19" s="12" t="s">
        <v>22</v>
      </c>
      <c r="D19" s="22">
        <v>2</v>
      </c>
      <c r="E19" s="29"/>
    </row>
    <row r="20" spans="2:5" x14ac:dyDescent="0.25">
      <c r="B20" s="139" t="s">
        <v>69</v>
      </c>
      <c r="C20" s="139"/>
      <c r="D20" s="139"/>
      <c r="E20" s="33">
        <f>SUM(D15:D19)</f>
        <v>17</v>
      </c>
    </row>
    <row r="21" spans="2:5" ht="15.75" thickBot="1" x14ac:dyDescent="0.3">
      <c r="B21" s="136" t="s">
        <v>33</v>
      </c>
      <c r="C21" s="137"/>
      <c r="D21" s="138"/>
      <c r="E21" s="29"/>
    </row>
    <row r="22" spans="2:5" x14ac:dyDescent="0.25">
      <c r="B22" s="32">
        <v>1</v>
      </c>
      <c r="C22" s="19" t="s">
        <v>458</v>
      </c>
      <c r="D22" s="32">
        <v>3</v>
      </c>
      <c r="E22" s="29"/>
    </row>
    <row r="23" spans="2:5" x14ac:dyDescent="0.25">
      <c r="B23" s="22">
        <v>2</v>
      </c>
      <c r="C23" s="12" t="s">
        <v>469</v>
      </c>
      <c r="D23" s="22">
        <v>3</v>
      </c>
      <c r="E23" s="29"/>
    </row>
    <row r="24" spans="2:5" x14ac:dyDescent="0.25">
      <c r="B24" s="22">
        <v>3</v>
      </c>
      <c r="C24" s="12" t="s">
        <v>16</v>
      </c>
      <c r="D24" s="22">
        <v>7</v>
      </c>
      <c r="E24" s="29"/>
    </row>
    <row r="25" spans="2:5" x14ac:dyDescent="0.25">
      <c r="B25" s="22">
        <v>4</v>
      </c>
      <c r="C25" s="12" t="s">
        <v>22</v>
      </c>
      <c r="D25" s="22">
        <v>7</v>
      </c>
      <c r="E25" s="29"/>
    </row>
    <row r="26" spans="2:5" x14ac:dyDescent="0.25">
      <c r="B26" s="22">
        <v>5</v>
      </c>
      <c r="C26" s="19" t="s">
        <v>265</v>
      </c>
      <c r="D26" s="22">
        <v>2</v>
      </c>
      <c r="E26" s="29"/>
    </row>
    <row r="27" spans="2:5" x14ac:dyDescent="0.25">
      <c r="B27" s="139" t="s">
        <v>69</v>
      </c>
      <c r="C27" s="139"/>
      <c r="D27" s="139"/>
      <c r="E27" s="33">
        <f>SUM(D22:D26)</f>
        <v>22</v>
      </c>
    </row>
    <row r="28" spans="2:5" ht="15.75" thickBot="1" x14ac:dyDescent="0.3">
      <c r="B28" s="136" t="s">
        <v>35</v>
      </c>
      <c r="C28" s="137"/>
      <c r="D28" s="138"/>
      <c r="E28" s="29"/>
    </row>
    <row r="29" spans="2:5" x14ac:dyDescent="0.25">
      <c r="B29" s="32">
        <v>1</v>
      </c>
      <c r="C29" s="19" t="s">
        <v>469</v>
      </c>
      <c r="D29" s="32">
        <v>1</v>
      </c>
      <c r="E29" s="29"/>
    </row>
    <row r="30" spans="2:5" x14ac:dyDescent="0.25">
      <c r="B30" s="22">
        <v>2</v>
      </c>
      <c r="C30" s="12" t="s">
        <v>549</v>
      </c>
      <c r="D30" s="22">
        <v>2</v>
      </c>
      <c r="E30" s="29"/>
    </row>
    <row r="31" spans="2:5" x14ac:dyDescent="0.25">
      <c r="B31" s="22">
        <v>3</v>
      </c>
      <c r="C31" s="12" t="s">
        <v>22</v>
      </c>
      <c r="D31" s="22">
        <v>2</v>
      </c>
      <c r="E31" s="29"/>
    </row>
    <row r="32" spans="2:5" x14ac:dyDescent="0.25">
      <c r="B32" s="22">
        <v>4</v>
      </c>
      <c r="C32" s="12" t="s">
        <v>16</v>
      </c>
      <c r="D32" s="22">
        <v>2</v>
      </c>
      <c r="E32" s="29"/>
    </row>
    <row r="33" spans="2:5" x14ac:dyDescent="0.25">
      <c r="B33" s="22">
        <v>5</v>
      </c>
      <c r="C33" s="12" t="s">
        <v>183</v>
      </c>
      <c r="D33" s="22">
        <v>2</v>
      </c>
      <c r="E33" s="29"/>
    </row>
    <row r="34" spans="2:5" x14ac:dyDescent="0.25">
      <c r="B34" s="22">
        <v>6</v>
      </c>
      <c r="C34" s="12" t="s">
        <v>458</v>
      </c>
      <c r="D34" s="22">
        <v>1</v>
      </c>
      <c r="E34" s="29"/>
    </row>
    <row r="35" spans="2:5" x14ac:dyDescent="0.25">
      <c r="B35" s="139" t="s">
        <v>69</v>
      </c>
      <c r="C35" s="139"/>
      <c r="D35" s="139"/>
      <c r="E35" s="33">
        <f>SUM(D29:D34)</f>
        <v>10</v>
      </c>
    </row>
    <row r="36" spans="2:5" ht="15.75" thickBot="1" x14ac:dyDescent="0.3">
      <c r="B36" s="136" t="s">
        <v>39</v>
      </c>
      <c r="C36" s="137"/>
      <c r="D36" s="138"/>
      <c r="E36" s="29"/>
    </row>
    <row r="37" spans="2:5" x14ac:dyDescent="0.25">
      <c r="B37" s="32">
        <v>1</v>
      </c>
      <c r="C37" s="19" t="s">
        <v>458</v>
      </c>
      <c r="D37" s="32">
        <v>3</v>
      </c>
      <c r="E37" s="29"/>
    </row>
    <row r="38" spans="2:5" x14ac:dyDescent="0.25">
      <c r="B38" s="22">
        <v>2</v>
      </c>
      <c r="C38" s="12" t="s">
        <v>16</v>
      </c>
      <c r="D38" s="22">
        <v>4</v>
      </c>
      <c r="E38" s="29"/>
    </row>
    <row r="39" spans="2:5" x14ac:dyDescent="0.25">
      <c r="B39" s="22">
        <v>3</v>
      </c>
      <c r="C39" s="12" t="s">
        <v>549</v>
      </c>
      <c r="D39" s="22">
        <v>2</v>
      </c>
      <c r="E39" s="29"/>
    </row>
    <row r="40" spans="2:5" x14ac:dyDescent="0.25">
      <c r="B40" s="22">
        <v>4</v>
      </c>
      <c r="C40" s="12" t="s">
        <v>22</v>
      </c>
      <c r="D40" s="22">
        <v>2</v>
      </c>
      <c r="E40" s="29"/>
    </row>
    <row r="41" spans="2:5" x14ac:dyDescent="0.25">
      <c r="B41" s="22">
        <v>5</v>
      </c>
      <c r="C41" s="12" t="s">
        <v>183</v>
      </c>
      <c r="D41" s="22">
        <v>2</v>
      </c>
      <c r="E41" s="29"/>
    </row>
    <row r="42" spans="2:5" x14ac:dyDescent="0.25">
      <c r="B42" s="22">
        <v>6</v>
      </c>
      <c r="C42" s="12" t="s">
        <v>265</v>
      </c>
      <c r="D42" s="22">
        <v>2</v>
      </c>
      <c r="E42" s="29"/>
    </row>
    <row r="43" spans="2:5" x14ac:dyDescent="0.25">
      <c r="B43" s="22">
        <v>7</v>
      </c>
      <c r="C43" s="12" t="s">
        <v>469</v>
      </c>
      <c r="D43" s="22">
        <v>1</v>
      </c>
      <c r="E43" s="29"/>
    </row>
    <row r="44" spans="2:5" x14ac:dyDescent="0.25">
      <c r="B44" s="139" t="s">
        <v>69</v>
      </c>
      <c r="C44" s="139"/>
      <c r="D44" s="139"/>
      <c r="E44" s="33">
        <f>SUM(D37:D43)</f>
        <v>16</v>
      </c>
    </row>
    <row r="45" spans="2:5" ht="15.75" thickBot="1" x14ac:dyDescent="0.3">
      <c r="B45" s="136" t="s">
        <v>42</v>
      </c>
      <c r="C45" s="137"/>
      <c r="D45" s="138"/>
      <c r="E45" s="29"/>
    </row>
    <row r="46" spans="2:5" x14ac:dyDescent="0.25">
      <c r="B46" s="32">
        <v>1</v>
      </c>
      <c r="C46" s="19" t="s">
        <v>16</v>
      </c>
      <c r="D46" s="32">
        <v>5</v>
      </c>
      <c r="E46" s="29"/>
    </row>
    <row r="47" spans="2:5" x14ac:dyDescent="0.25">
      <c r="B47" s="22">
        <v>2</v>
      </c>
      <c r="C47" s="12" t="s">
        <v>22</v>
      </c>
      <c r="D47" s="22">
        <v>4</v>
      </c>
      <c r="E47" s="29"/>
    </row>
    <row r="48" spans="2:5" x14ac:dyDescent="0.25">
      <c r="B48" s="22">
        <v>3</v>
      </c>
      <c r="C48" s="12" t="s">
        <v>183</v>
      </c>
      <c r="D48" s="22">
        <v>2</v>
      </c>
      <c r="E48" s="29"/>
    </row>
    <row r="49" spans="2:5" x14ac:dyDescent="0.25">
      <c r="B49" s="22">
        <v>4</v>
      </c>
      <c r="C49" s="12" t="s">
        <v>458</v>
      </c>
      <c r="D49" s="22">
        <v>1</v>
      </c>
      <c r="E49" s="29"/>
    </row>
    <row r="50" spans="2:5" x14ac:dyDescent="0.25">
      <c r="B50" s="139" t="s">
        <v>69</v>
      </c>
      <c r="C50" s="139"/>
      <c r="D50" s="139"/>
      <c r="E50" s="33">
        <f>SUM(D46:D49)</f>
        <v>12</v>
      </c>
    </row>
    <row r="51" spans="2:5" ht="15.75" thickBot="1" x14ac:dyDescent="0.3">
      <c r="B51" s="136" t="s">
        <v>49</v>
      </c>
      <c r="C51" s="137"/>
      <c r="D51" s="138"/>
      <c r="E51" s="29"/>
    </row>
    <row r="52" spans="2:5" x14ac:dyDescent="0.25">
      <c r="B52" s="32">
        <v>1</v>
      </c>
      <c r="C52" s="15" t="s">
        <v>183</v>
      </c>
      <c r="D52" s="32">
        <v>1</v>
      </c>
      <c r="E52" s="29"/>
    </row>
    <row r="53" spans="2:5" x14ac:dyDescent="0.25">
      <c r="B53" s="22">
        <v>2</v>
      </c>
      <c r="C53" s="15" t="s">
        <v>458</v>
      </c>
      <c r="D53" s="22">
        <v>1</v>
      </c>
      <c r="E53" s="29"/>
    </row>
    <row r="54" spans="2:5" x14ac:dyDescent="0.25">
      <c r="B54" s="22">
        <v>3</v>
      </c>
      <c r="C54" s="12" t="s">
        <v>16</v>
      </c>
      <c r="D54" s="22">
        <v>1</v>
      </c>
      <c r="E54" s="29"/>
    </row>
    <row r="55" spans="2:5" x14ac:dyDescent="0.25">
      <c r="B55" s="139" t="s">
        <v>69</v>
      </c>
      <c r="C55" s="139"/>
      <c r="D55" s="139"/>
      <c r="E55" s="33">
        <f>SUM(D52:D54)</f>
        <v>3</v>
      </c>
    </row>
    <row r="56" spans="2:5" ht="15.75" thickBot="1" x14ac:dyDescent="0.3">
      <c r="B56" s="136" t="s">
        <v>52</v>
      </c>
      <c r="C56" s="137"/>
      <c r="D56" s="138"/>
      <c r="E56" s="29"/>
    </row>
    <row r="57" spans="2:5" x14ac:dyDescent="0.25">
      <c r="B57" s="32">
        <v>1</v>
      </c>
      <c r="C57" s="19" t="s">
        <v>22</v>
      </c>
      <c r="D57" s="32">
        <v>2</v>
      </c>
      <c r="E57" s="29"/>
    </row>
    <row r="58" spans="2:5" x14ac:dyDescent="0.25">
      <c r="B58" s="22">
        <v>2</v>
      </c>
      <c r="C58" s="12" t="s">
        <v>16</v>
      </c>
      <c r="D58" s="22">
        <v>2</v>
      </c>
      <c r="E58" s="29"/>
    </row>
    <row r="59" spans="2:5" x14ac:dyDescent="0.25">
      <c r="B59" s="22">
        <v>3</v>
      </c>
      <c r="C59" s="12" t="s">
        <v>265</v>
      </c>
      <c r="D59" s="22">
        <v>2</v>
      </c>
      <c r="E59" s="29"/>
    </row>
    <row r="60" spans="2:5" x14ac:dyDescent="0.25">
      <c r="B60" s="139" t="s">
        <v>69</v>
      </c>
      <c r="C60" s="139"/>
      <c r="D60" s="139"/>
      <c r="E60" s="33">
        <f>SUM(D57:D59)</f>
        <v>6</v>
      </c>
    </row>
    <row r="61" spans="2:5" ht="15.75" thickBot="1" x14ac:dyDescent="0.3">
      <c r="B61" s="136" t="s">
        <v>55</v>
      </c>
      <c r="C61" s="137"/>
      <c r="D61" s="138"/>
      <c r="E61" s="29"/>
    </row>
    <row r="62" spans="2:5" x14ac:dyDescent="0.25">
      <c r="B62" s="32">
        <v>1</v>
      </c>
      <c r="C62" s="19" t="s">
        <v>183</v>
      </c>
      <c r="D62" s="32">
        <v>2</v>
      </c>
      <c r="E62" s="29"/>
    </row>
    <row r="63" spans="2:5" x14ac:dyDescent="0.25">
      <c r="B63" s="22">
        <v>2</v>
      </c>
      <c r="C63" s="12" t="s">
        <v>16</v>
      </c>
      <c r="D63" s="22">
        <v>1</v>
      </c>
      <c r="E63" s="29"/>
    </row>
    <row r="64" spans="2:5" x14ac:dyDescent="0.25">
      <c r="B64" s="22">
        <v>3</v>
      </c>
      <c r="C64" s="12" t="s">
        <v>671</v>
      </c>
      <c r="D64" s="22">
        <v>4</v>
      </c>
      <c r="E64" s="29"/>
    </row>
    <row r="65" spans="2:5" x14ac:dyDescent="0.25">
      <c r="B65" s="22">
        <v>5</v>
      </c>
      <c r="C65" s="12" t="s">
        <v>458</v>
      </c>
      <c r="D65" s="22">
        <v>1</v>
      </c>
      <c r="E65" s="29"/>
    </row>
    <row r="66" spans="2:5" x14ac:dyDescent="0.25">
      <c r="B66" s="22"/>
      <c r="C66" s="12"/>
      <c r="D66" s="22"/>
      <c r="E66" s="29"/>
    </row>
    <row r="67" spans="2:5" x14ac:dyDescent="0.25">
      <c r="B67" s="139" t="s">
        <v>69</v>
      </c>
      <c r="C67" s="139"/>
      <c r="D67" s="139"/>
      <c r="E67" s="33">
        <f>SUM(D62:D66)</f>
        <v>8</v>
      </c>
    </row>
    <row r="68" spans="2:5" ht="15.75" thickBot="1" x14ac:dyDescent="0.3">
      <c r="B68" s="136" t="s">
        <v>59</v>
      </c>
      <c r="C68" s="137"/>
      <c r="D68" s="138"/>
      <c r="E68" s="29"/>
    </row>
    <row r="69" spans="2:5" x14ac:dyDescent="0.25">
      <c r="B69" s="32"/>
      <c r="C69" s="19"/>
      <c r="D69" s="32"/>
      <c r="E69" s="29"/>
    </row>
    <row r="70" spans="2:5" x14ac:dyDescent="0.25">
      <c r="B70" s="22"/>
      <c r="C70" s="12"/>
      <c r="D70" s="22"/>
      <c r="E70" s="29"/>
    </row>
    <row r="71" spans="2:5" x14ac:dyDescent="0.25">
      <c r="B71" s="22"/>
      <c r="C71" s="12"/>
      <c r="D71" s="22"/>
      <c r="E71" s="29"/>
    </row>
    <row r="72" spans="2:5" x14ac:dyDescent="0.25">
      <c r="B72" s="22"/>
      <c r="C72" s="12"/>
      <c r="D72" s="22"/>
      <c r="E72" s="29"/>
    </row>
    <row r="73" spans="2:5" x14ac:dyDescent="0.25">
      <c r="B73" s="22"/>
      <c r="C73" s="12"/>
      <c r="D73" s="22"/>
      <c r="E73" s="29"/>
    </row>
    <row r="74" spans="2:5" x14ac:dyDescent="0.25">
      <c r="B74" s="139" t="s">
        <v>69</v>
      </c>
      <c r="C74" s="139"/>
      <c r="D74" s="139"/>
      <c r="E74" s="33">
        <f>SUM(D69:D73)</f>
        <v>0</v>
      </c>
    </row>
    <row r="75" spans="2:5" ht="15.75" thickBot="1" x14ac:dyDescent="0.3">
      <c r="B75" s="136" t="s">
        <v>61</v>
      </c>
      <c r="C75" s="137"/>
      <c r="D75" s="138"/>
      <c r="E75" s="29"/>
    </row>
    <row r="76" spans="2:5" x14ac:dyDescent="0.25">
      <c r="B76" s="32"/>
      <c r="C76" s="19"/>
      <c r="D76" s="32"/>
      <c r="E76" s="29"/>
    </row>
    <row r="77" spans="2:5" x14ac:dyDescent="0.25">
      <c r="B77" s="22"/>
      <c r="C77" s="12"/>
      <c r="D77" s="22"/>
      <c r="E77" s="29"/>
    </row>
    <row r="78" spans="2:5" x14ac:dyDescent="0.25">
      <c r="B78" s="22"/>
      <c r="C78" s="12"/>
      <c r="D78" s="22"/>
      <c r="E78" s="29"/>
    </row>
    <row r="79" spans="2:5" x14ac:dyDescent="0.25">
      <c r="B79" s="22"/>
      <c r="C79" s="12"/>
      <c r="D79" s="22"/>
      <c r="E79" s="29"/>
    </row>
    <row r="80" spans="2:5" x14ac:dyDescent="0.25">
      <c r="B80" s="139" t="s">
        <v>69</v>
      </c>
      <c r="C80" s="139"/>
      <c r="D80" s="139"/>
      <c r="E80" s="33">
        <f>SUM(D76:D79)</f>
        <v>0</v>
      </c>
    </row>
    <row r="81" spans="2:5" ht="15.75" thickBot="1" x14ac:dyDescent="0.3">
      <c r="B81" s="136" t="s">
        <v>64</v>
      </c>
      <c r="C81" s="137"/>
      <c r="D81" s="138"/>
      <c r="E81" s="29"/>
    </row>
    <row r="82" spans="2:5" x14ac:dyDescent="0.25">
      <c r="B82" s="32"/>
      <c r="C82" s="19"/>
      <c r="D82" s="32"/>
      <c r="E82" s="29"/>
    </row>
    <row r="83" spans="2:5" x14ac:dyDescent="0.25">
      <c r="B83" s="22"/>
      <c r="C83" s="12"/>
      <c r="D83" s="22"/>
      <c r="E83" s="29"/>
    </row>
    <row r="84" spans="2:5" x14ac:dyDescent="0.25">
      <c r="B84" s="22"/>
      <c r="C84" s="12"/>
      <c r="D84" s="22"/>
      <c r="E84" s="29"/>
    </row>
    <row r="85" spans="2:5" x14ac:dyDescent="0.25">
      <c r="B85" s="22"/>
      <c r="C85" s="12"/>
      <c r="D85" s="22"/>
      <c r="E85" s="29"/>
    </row>
    <row r="86" spans="2:5" x14ac:dyDescent="0.25">
      <c r="B86" s="139" t="s">
        <v>69</v>
      </c>
      <c r="C86" s="139"/>
      <c r="D86" s="139"/>
      <c r="E86" s="33">
        <f>SUM(D82:D85)</f>
        <v>0</v>
      </c>
    </row>
  </sheetData>
  <mergeCells count="24">
    <mergeCell ref="B81:D81"/>
    <mergeCell ref="B86:D86"/>
    <mergeCell ref="B27:D27"/>
    <mergeCell ref="B51:D51"/>
    <mergeCell ref="B55:D55"/>
    <mergeCell ref="B45:D45"/>
    <mergeCell ref="B50:D50"/>
    <mergeCell ref="B36:D36"/>
    <mergeCell ref="B44:D44"/>
    <mergeCell ref="B75:D75"/>
    <mergeCell ref="B80:D80"/>
    <mergeCell ref="B60:D60"/>
    <mergeCell ref="B28:D28"/>
    <mergeCell ref="B35:D35"/>
    <mergeCell ref="B68:D68"/>
    <mergeCell ref="B74:D74"/>
    <mergeCell ref="B61:D61"/>
    <mergeCell ref="B67:D67"/>
    <mergeCell ref="B56:D56"/>
    <mergeCell ref="B8:D8"/>
    <mergeCell ref="B13:D13"/>
    <mergeCell ref="B14:D14"/>
    <mergeCell ref="B20:D20"/>
    <mergeCell ref="B21:D2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3045F-4BBE-44AA-822C-F9073E25DF84}">
  <sheetPr>
    <tabColor theme="4" tint="0.79998168889431442"/>
  </sheetPr>
  <dimension ref="A1:P74"/>
  <sheetViews>
    <sheetView topLeftCell="A16" zoomScale="90" zoomScaleNormal="90" workbookViewId="0">
      <selection activeCell="A49" sqref="A49"/>
    </sheetView>
  </sheetViews>
  <sheetFormatPr baseColWidth="10" defaultRowHeight="15" x14ac:dyDescent="0.25"/>
  <cols>
    <col min="1" max="1" width="6.7109375" customWidth="1"/>
    <col min="2" max="2" width="19.42578125" customWidth="1"/>
    <col min="3" max="3" width="14.140625" customWidth="1"/>
    <col min="4" max="4" width="12.42578125" customWidth="1"/>
    <col min="5" max="5" width="21.85546875" customWidth="1"/>
    <col min="6" max="6" width="40.5703125" bestFit="1" customWidth="1"/>
    <col min="7" max="7" width="9.28515625" customWidth="1"/>
    <col min="8" max="8" width="8" customWidth="1"/>
    <col min="9" max="9" width="18.42578125" customWidth="1"/>
    <col min="10" max="10" width="17" customWidth="1"/>
    <col min="11" max="11" width="20" customWidth="1"/>
    <col min="12" max="14" width="17.7109375" customWidth="1"/>
    <col min="15" max="15" width="31.5703125" customWidth="1"/>
    <col min="16" max="16" width="37.85546875" customWidth="1"/>
  </cols>
  <sheetData>
    <row r="1" spans="1:16" x14ac:dyDescent="0.25">
      <c r="A1" s="4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x14ac:dyDescent="0.25">
      <c r="A2" s="45"/>
      <c r="B2" s="5"/>
      <c r="C2" s="5"/>
      <c r="D2" s="3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5.75" x14ac:dyDescent="0.25">
      <c r="A3" s="45"/>
      <c r="B3" s="143" t="s">
        <v>70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46"/>
      <c r="N3" s="35"/>
      <c r="O3" s="5"/>
      <c r="P3" s="5"/>
    </row>
    <row r="4" spans="1:16" x14ac:dyDescent="0.25">
      <c r="A4" s="45"/>
      <c r="B4" s="5"/>
      <c r="C4" s="5"/>
      <c r="D4" s="5"/>
      <c r="E4" s="5"/>
      <c r="F4" s="5" t="s">
        <v>1</v>
      </c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5.75" thickBot="1" x14ac:dyDescent="0.3">
      <c r="A5" s="4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 ht="32.25" thickBot="1" x14ac:dyDescent="0.3">
      <c r="A6" s="36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71</v>
      </c>
      <c r="J6" s="9" t="s">
        <v>12</v>
      </c>
      <c r="K6" s="48" t="s">
        <v>72</v>
      </c>
      <c r="L6" s="9" t="s">
        <v>73</v>
      </c>
      <c r="M6" s="9" t="s">
        <v>74</v>
      </c>
      <c r="N6" s="9" t="s">
        <v>75</v>
      </c>
      <c r="O6" s="9" t="s">
        <v>13</v>
      </c>
      <c r="P6" s="37" t="s">
        <v>14</v>
      </c>
    </row>
    <row r="7" spans="1:16" s="5" customFormat="1" ht="16.5" thickBot="1" x14ac:dyDescent="0.3">
      <c r="A7" s="140" t="s">
        <v>437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2"/>
    </row>
    <row r="8" spans="1:16" s="5" customFormat="1" x14ac:dyDescent="0.25">
      <c r="A8" s="67">
        <v>1</v>
      </c>
      <c r="B8" s="70" t="s">
        <v>16</v>
      </c>
      <c r="C8" s="70" t="s">
        <v>308</v>
      </c>
      <c r="D8" s="70">
        <v>292137</v>
      </c>
      <c r="E8" s="70" t="s">
        <v>17</v>
      </c>
      <c r="F8" s="70" t="s">
        <v>309</v>
      </c>
      <c r="G8" s="70" t="s">
        <v>20</v>
      </c>
      <c r="H8" s="70" t="s">
        <v>19</v>
      </c>
      <c r="I8" s="68">
        <v>45859</v>
      </c>
      <c r="J8" s="69">
        <v>20500</v>
      </c>
      <c r="K8" s="68">
        <v>45964</v>
      </c>
      <c r="L8" s="69">
        <v>20000</v>
      </c>
      <c r="M8" s="69">
        <v>1000</v>
      </c>
      <c r="N8" s="69">
        <v>200</v>
      </c>
      <c r="O8" s="67"/>
      <c r="P8" s="67"/>
    </row>
    <row r="9" spans="1:16" s="5" customFormat="1" x14ac:dyDescent="0.25">
      <c r="A9" s="67">
        <v>2</v>
      </c>
      <c r="B9" s="70" t="s">
        <v>16</v>
      </c>
      <c r="C9" s="70" t="s">
        <v>400</v>
      </c>
      <c r="D9" s="70">
        <v>307320</v>
      </c>
      <c r="E9" s="70" t="s">
        <v>17</v>
      </c>
      <c r="F9" s="70" t="s">
        <v>36</v>
      </c>
      <c r="G9" s="70" t="s">
        <v>18</v>
      </c>
      <c r="H9" s="70" t="s">
        <v>19</v>
      </c>
      <c r="I9" s="68">
        <v>45975</v>
      </c>
      <c r="J9" s="69">
        <v>48000</v>
      </c>
      <c r="K9" s="68">
        <v>45976</v>
      </c>
      <c r="L9" s="69">
        <v>48000</v>
      </c>
      <c r="M9" s="69">
        <f>+L9*5%</f>
        <v>2400</v>
      </c>
      <c r="N9" s="69">
        <v>250</v>
      </c>
      <c r="O9" s="67"/>
      <c r="P9" s="67"/>
    </row>
    <row r="10" spans="1:16" s="5" customFormat="1" x14ac:dyDescent="0.25">
      <c r="A10" s="67">
        <v>3</v>
      </c>
      <c r="B10" s="70" t="s">
        <v>183</v>
      </c>
      <c r="C10" s="70" t="s">
        <v>323</v>
      </c>
      <c r="D10" s="70">
        <v>293057</v>
      </c>
      <c r="E10" s="70" t="s">
        <v>17</v>
      </c>
      <c r="F10" s="70" t="s">
        <v>324</v>
      </c>
      <c r="G10" s="70" t="s">
        <v>18</v>
      </c>
      <c r="H10" s="70" t="s">
        <v>19</v>
      </c>
      <c r="I10" s="94">
        <v>45867</v>
      </c>
      <c r="J10" s="95">
        <v>35000</v>
      </c>
      <c r="K10" s="68">
        <v>45981</v>
      </c>
      <c r="L10" s="69">
        <v>33500</v>
      </c>
      <c r="M10" s="69">
        <f>+L10*5%</f>
        <v>1675</v>
      </c>
      <c r="N10" s="69">
        <v>250</v>
      </c>
      <c r="O10" s="67"/>
      <c r="P10" s="67"/>
    </row>
    <row r="11" spans="1:16" s="5" customFormat="1" ht="15.75" thickBot="1" x14ac:dyDescent="0.3">
      <c r="A11" s="67">
        <v>4</v>
      </c>
      <c r="B11" s="67" t="s">
        <v>183</v>
      </c>
      <c r="C11" s="67" t="s">
        <v>148</v>
      </c>
      <c r="D11" s="67" t="s">
        <v>148</v>
      </c>
      <c r="E11" s="67" t="s">
        <v>17</v>
      </c>
      <c r="F11" s="67" t="s">
        <v>426</v>
      </c>
      <c r="G11" s="67" t="s">
        <v>148</v>
      </c>
      <c r="H11" s="67" t="s">
        <v>148</v>
      </c>
      <c r="I11" s="67" t="s">
        <v>148</v>
      </c>
      <c r="J11" s="69" t="s">
        <v>148</v>
      </c>
      <c r="K11" s="68">
        <v>45981</v>
      </c>
      <c r="L11" s="69">
        <v>40000</v>
      </c>
      <c r="M11" s="69">
        <f>+L11*5%</f>
        <v>2000</v>
      </c>
      <c r="N11" s="69">
        <v>250</v>
      </c>
      <c r="O11" s="67"/>
      <c r="P11" s="67"/>
    </row>
    <row r="12" spans="1:16" s="5" customFormat="1" ht="16.5" thickBot="1" x14ac:dyDescent="0.3">
      <c r="A12" s="140" t="s">
        <v>15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2"/>
    </row>
    <row r="13" spans="1:16" s="5" customFormat="1" x14ac:dyDescent="0.25">
      <c r="A13" s="12">
        <v>1</v>
      </c>
      <c r="B13" s="15" t="s">
        <v>22</v>
      </c>
      <c r="C13" s="15" t="s">
        <v>169</v>
      </c>
      <c r="D13" s="15">
        <v>276901</v>
      </c>
      <c r="E13" s="15" t="s">
        <v>24</v>
      </c>
      <c r="F13" s="15" t="s">
        <v>170</v>
      </c>
      <c r="G13" s="12" t="s">
        <v>18</v>
      </c>
      <c r="H13" s="12" t="s">
        <v>19</v>
      </c>
      <c r="I13" s="13">
        <v>45744</v>
      </c>
      <c r="J13" s="14">
        <v>55000</v>
      </c>
      <c r="K13" s="13">
        <v>46029</v>
      </c>
      <c r="L13" s="14">
        <v>50000</v>
      </c>
      <c r="M13" s="14">
        <f>+L13*5%</f>
        <v>2500</v>
      </c>
      <c r="N13" s="14">
        <v>250</v>
      </c>
      <c r="O13" s="12"/>
      <c r="P13" s="22" t="s">
        <v>438</v>
      </c>
    </row>
    <row r="14" spans="1:16" s="5" customFormat="1" x14ac:dyDescent="0.25">
      <c r="A14" s="12">
        <v>2</v>
      </c>
      <c r="B14" s="15" t="s">
        <v>16</v>
      </c>
      <c r="C14" s="15" t="s">
        <v>414</v>
      </c>
      <c r="D14" s="15">
        <v>307279</v>
      </c>
      <c r="E14" s="15" t="s">
        <v>17</v>
      </c>
      <c r="F14" s="15" t="s">
        <v>416</v>
      </c>
      <c r="G14" s="15" t="s">
        <v>18</v>
      </c>
      <c r="H14" s="15" t="s">
        <v>19</v>
      </c>
      <c r="I14" s="16">
        <v>45975</v>
      </c>
      <c r="J14" s="14">
        <v>18000</v>
      </c>
      <c r="K14" s="13">
        <v>46035</v>
      </c>
      <c r="L14" s="14">
        <v>18000</v>
      </c>
      <c r="M14" s="14">
        <v>1000</v>
      </c>
      <c r="N14" s="14">
        <v>250</v>
      </c>
      <c r="O14" s="12"/>
      <c r="P14" s="12"/>
    </row>
    <row r="15" spans="1:16" s="5" customFormat="1" x14ac:dyDescent="0.25">
      <c r="A15" s="12">
        <v>3</v>
      </c>
      <c r="B15" s="12" t="s">
        <v>22</v>
      </c>
      <c r="C15" s="12" t="s">
        <v>414</v>
      </c>
      <c r="D15" s="12">
        <v>309727</v>
      </c>
      <c r="E15" s="12" t="s">
        <v>24</v>
      </c>
      <c r="F15" s="12" t="s">
        <v>185</v>
      </c>
      <c r="G15" s="12" t="s">
        <v>18</v>
      </c>
      <c r="H15" s="12" t="s">
        <v>19</v>
      </c>
      <c r="I15" s="13">
        <v>45996</v>
      </c>
      <c r="J15" s="14">
        <v>27000</v>
      </c>
      <c r="K15" s="13">
        <v>46035</v>
      </c>
      <c r="L15" s="14">
        <v>28000</v>
      </c>
      <c r="M15" s="14">
        <f t="shared" ref="M15:M20" si="0">+L15*5%</f>
        <v>1400</v>
      </c>
      <c r="N15" s="14">
        <v>250</v>
      </c>
      <c r="O15" s="12"/>
      <c r="P15" s="12"/>
    </row>
    <row r="16" spans="1:16" s="5" customFormat="1" x14ac:dyDescent="0.25">
      <c r="A16" s="12">
        <v>4</v>
      </c>
      <c r="B16" s="12" t="s">
        <v>22</v>
      </c>
      <c r="C16" s="12" t="s">
        <v>348</v>
      </c>
      <c r="D16" s="12">
        <v>297746</v>
      </c>
      <c r="E16" s="12" t="s">
        <v>24</v>
      </c>
      <c r="F16" s="12" t="s">
        <v>307</v>
      </c>
      <c r="G16" s="12" t="s">
        <v>18</v>
      </c>
      <c r="H16" s="12" t="s">
        <v>19</v>
      </c>
      <c r="I16" s="13">
        <v>45898</v>
      </c>
      <c r="J16" s="14">
        <v>28000</v>
      </c>
      <c r="K16" s="13">
        <v>46041</v>
      </c>
      <c r="L16" s="14">
        <v>28000</v>
      </c>
      <c r="M16" s="14">
        <f t="shared" si="0"/>
        <v>1400</v>
      </c>
      <c r="N16" s="14">
        <v>250</v>
      </c>
      <c r="O16" s="12"/>
      <c r="P16" s="22" t="s">
        <v>441</v>
      </c>
    </row>
    <row r="17" spans="1:16" s="5" customFormat="1" x14ac:dyDescent="0.25">
      <c r="A17" s="12">
        <v>5</v>
      </c>
      <c r="B17" s="12" t="s">
        <v>16</v>
      </c>
      <c r="C17" s="12" t="s">
        <v>443</v>
      </c>
      <c r="D17" s="12">
        <v>314165</v>
      </c>
      <c r="E17" s="12" t="s">
        <v>23</v>
      </c>
      <c r="F17" s="12" t="s">
        <v>445</v>
      </c>
      <c r="G17" s="12" t="s">
        <v>18</v>
      </c>
      <c r="H17" s="12" t="s">
        <v>19</v>
      </c>
      <c r="I17" s="13">
        <v>45881</v>
      </c>
      <c r="J17" s="14">
        <v>45000</v>
      </c>
      <c r="K17" s="13">
        <v>46046</v>
      </c>
      <c r="L17" s="14">
        <v>45000</v>
      </c>
      <c r="M17" s="14">
        <f t="shared" si="0"/>
        <v>2250</v>
      </c>
      <c r="N17" s="14">
        <v>250</v>
      </c>
      <c r="O17" s="12"/>
      <c r="P17" s="12"/>
    </row>
    <row r="18" spans="1:16" s="5" customFormat="1" x14ac:dyDescent="0.25">
      <c r="A18" s="12">
        <v>6</v>
      </c>
      <c r="B18" s="12" t="s">
        <v>265</v>
      </c>
      <c r="C18" s="12" t="s">
        <v>444</v>
      </c>
      <c r="D18" s="12">
        <v>313918</v>
      </c>
      <c r="E18" s="19" t="s">
        <v>24</v>
      </c>
      <c r="F18" s="19" t="s">
        <v>442</v>
      </c>
      <c r="G18" s="19" t="s">
        <v>20</v>
      </c>
      <c r="H18" s="19" t="s">
        <v>19</v>
      </c>
      <c r="I18" s="13">
        <v>46045</v>
      </c>
      <c r="J18" s="14">
        <v>35000</v>
      </c>
      <c r="K18" s="13">
        <v>46048</v>
      </c>
      <c r="L18" s="14">
        <v>32000</v>
      </c>
      <c r="M18" s="14">
        <f t="shared" si="0"/>
        <v>1600</v>
      </c>
      <c r="N18" s="14">
        <v>200</v>
      </c>
      <c r="O18" s="12"/>
      <c r="P18" s="12"/>
    </row>
    <row r="19" spans="1:16" s="5" customFormat="1" x14ac:dyDescent="0.25">
      <c r="A19" s="12">
        <v>7</v>
      </c>
      <c r="B19" s="12" t="s">
        <v>26</v>
      </c>
      <c r="C19" s="12" t="s">
        <v>121</v>
      </c>
      <c r="D19" s="12">
        <v>273392</v>
      </c>
      <c r="E19" s="12" t="s">
        <v>43</v>
      </c>
      <c r="F19" s="12" t="s">
        <v>30</v>
      </c>
      <c r="G19" s="12" t="s">
        <v>18</v>
      </c>
      <c r="H19" s="12" t="s">
        <v>19</v>
      </c>
      <c r="I19" s="13">
        <v>45721</v>
      </c>
      <c r="J19" s="14">
        <v>46000</v>
      </c>
      <c r="K19" s="13">
        <v>46052</v>
      </c>
      <c r="L19" s="14">
        <v>46000</v>
      </c>
      <c r="M19" s="14">
        <f t="shared" si="0"/>
        <v>2300</v>
      </c>
      <c r="N19" s="14">
        <v>150</v>
      </c>
      <c r="O19" s="12"/>
      <c r="P19" s="12"/>
    </row>
    <row r="20" spans="1:16" s="5" customFormat="1" ht="15.75" thickBot="1" x14ac:dyDescent="0.3">
      <c r="A20" s="12">
        <v>8</v>
      </c>
      <c r="B20" s="12" t="s">
        <v>22</v>
      </c>
      <c r="C20" s="12" t="s">
        <v>365</v>
      </c>
      <c r="D20" s="12">
        <v>310341</v>
      </c>
      <c r="E20" s="12" t="s">
        <v>17</v>
      </c>
      <c r="F20" s="12" t="s">
        <v>436</v>
      </c>
      <c r="G20" s="12" t="s">
        <v>20</v>
      </c>
      <c r="H20" s="12" t="s">
        <v>19</v>
      </c>
      <c r="I20" s="13">
        <v>46003</v>
      </c>
      <c r="J20" s="14">
        <v>24000</v>
      </c>
      <c r="K20" s="13">
        <v>46053</v>
      </c>
      <c r="L20" s="14">
        <v>22500</v>
      </c>
      <c r="M20" s="14">
        <f t="shared" si="0"/>
        <v>1125</v>
      </c>
      <c r="N20" s="14">
        <v>250</v>
      </c>
      <c r="O20" s="12"/>
      <c r="P20" s="12"/>
    </row>
    <row r="21" spans="1:16" s="38" customFormat="1" ht="16.5" thickBot="1" x14ac:dyDescent="0.25">
      <c r="A21" s="140" t="s">
        <v>31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2"/>
    </row>
    <row r="22" spans="1:16" s="38" customFormat="1" x14ac:dyDescent="0.2">
      <c r="A22" s="15">
        <v>1</v>
      </c>
      <c r="B22" s="15" t="s">
        <v>458</v>
      </c>
      <c r="C22" s="15" t="s">
        <v>462</v>
      </c>
      <c r="D22" s="15">
        <v>315586</v>
      </c>
      <c r="E22" s="15" t="s">
        <v>23</v>
      </c>
      <c r="F22" s="15" t="s">
        <v>185</v>
      </c>
      <c r="G22" s="15" t="s">
        <v>20</v>
      </c>
      <c r="H22" s="15" t="s">
        <v>19</v>
      </c>
      <c r="I22" s="13">
        <v>46057</v>
      </c>
      <c r="J22" s="14">
        <v>62500</v>
      </c>
      <c r="K22" s="13">
        <v>46057</v>
      </c>
      <c r="L22" s="14">
        <v>62500</v>
      </c>
      <c r="M22" s="14">
        <f>+L22*5%</f>
        <v>3125</v>
      </c>
      <c r="N22" s="14">
        <v>200</v>
      </c>
      <c r="O22" s="12"/>
      <c r="P22" s="12" t="s">
        <v>459</v>
      </c>
    </row>
    <row r="23" spans="1:16" s="38" customFormat="1" x14ac:dyDescent="0.2">
      <c r="A23" s="73">
        <v>2</v>
      </c>
      <c r="B23" s="12" t="s">
        <v>16</v>
      </c>
      <c r="C23" s="12" t="s">
        <v>448</v>
      </c>
      <c r="D23" s="12">
        <v>314612</v>
      </c>
      <c r="E23" s="12" t="s">
        <v>41</v>
      </c>
      <c r="F23" s="12" t="s">
        <v>449</v>
      </c>
      <c r="G23" s="12" t="s">
        <v>18</v>
      </c>
      <c r="H23" s="12" t="s">
        <v>19</v>
      </c>
      <c r="I23" s="13">
        <v>46051</v>
      </c>
      <c r="J23" s="14">
        <v>25000</v>
      </c>
      <c r="K23" s="13">
        <v>46057</v>
      </c>
      <c r="L23" s="14">
        <v>23000</v>
      </c>
      <c r="M23" s="14">
        <f>+L23*5%</f>
        <v>1150</v>
      </c>
      <c r="N23" s="14">
        <v>250</v>
      </c>
      <c r="O23" s="12"/>
      <c r="P23" s="12" t="s">
        <v>463</v>
      </c>
    </row>
    <row r="24" spans="1:16" s="38" customFormat="1" ht="15.75" thickBot="1" x14ac:dyDescent="0.25">
      <c r="A24" s="73">
        <v>3</v>
      </c>
      <c r="B24" s="12" t="s">
        <v>26</v>
      </c>
      <c r="C24" s="12" t="s">
        <v>393</v>
      </c>
      <c r="D24" s="12">
        <v>306118</v>
      </c>
      <c r="E24" s="12" t="s">
        <v>24</v>
      </c>
      <c r="F24" s="12" t="s">
        <v>394</v>
      </c>
      <c r="G24" s="12" t="s">
        <v>18</v>
      </c>
      <c r="H24" s="12" t="s">
        <v>19</v>
      </c>
      <c r="I24" s="13">
        <v>45965</v>
      </c>
      <c r="J24" s="14">
        <v>45000</v>
      </c>
      <c r="K24" s="13">
        <v>46060</v>
      </c>
      <c r="L24" s="14">
        <v>45000</v>
      </c>
      <c r="M24" s="14">
        <f>+L24*5%</f>
        <v>2250</v>
      </c>
      <c r="N24" s="14">
        <v>250</v>
      </c>
      <c r="O24" s="12"/>
      <c r="P24" s="12"/>
    </row>
    <row r="25" spans="1:16" s="38" customFormat="1" ht="16.5" thickBot="1" x14ac:dyDescent="0.25">
      <c r="A25" s="140" t="s">
        <v>33</v>
      </c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2"/>
    </row>
    <row r="26" spans="1:16" s="38" customFormat="1" x14ac:dyDescent="0.2">
      <c r="A26" s="73">
        <v>1</v>
      </c>
      <c r="B26" s="12" t="s">
        <v>16</v>
      </c>
      <c r="C26" s="12" t="s">
        <v>516</v>
      </c>
      <c r="D26" s="15">
        <v>320446</v>
      </c>
      <c r="E26" s="15" t="s">
        <v>17</v>
      </c>
      <c r="F26" s="15" t="s">
        <v>517</v>
      </c>
      <c r="G26" s="15" t="s">
        <v>18</v>
      </c>
      <c r="H26" s="15" t="s">
        <v>19</v>
      </c>
      <c r="I26" s="13">
        <v>46098</v>
      </c>
      <c r="J26" s="14">
        <v>27000</v>
      </c>
      <c r="K26" s="13">
        <v>46111</v>
      </c>
      <c r="L26" s="14">
        <v>26000</v>
      </c>
      <c r="M26" s="14">
        <f>+L26*20%</f>
        <v>5200</v>
      </c>
      <c r="N26" s="14">
        <v>250</v>
      </c>
      <c r="O26" s="12"/>
      <c r="P26" s="12"/>
    </row>
    <row r="27" spans="1:16" s="38" customFormat="1" x14ac:dyDescent="0.2">
      <c r="A27" s="73">
        <v>2</v>
      </c>
      <c r="B27" s="43" t="s">
        <v>265</v>
      </c>
      <c r="C27" s="15" t="s">
        <v>545</v>
      </c>
      <c r="D27" s="15">
        <v>322637</v>
      </c>
      <c r="E27" s="15" t="s">
        <v>17</v>
      </c>
      <c r="F27" s="44" t="s">
        <v>546</v>
      </c>
      <c r="G27" s="15" t="s">
        <v>18</v>
      </c>
      <c r="H27" s="15" t="s">
        <v>19</v>
      </c>
      <c r="I27" s="13">
        <v>46112</v>
      </c>
      <c r="J27" s="14">
        <v>24600</v>
      </c>
      <c r="K27" s="13">
        <v>46111</v>
      </c>
      <c r="L27" s="14">
        <v>24600</v>
      </c>
      <c r="M27" s="14">
        <v>4000</v>
      </c>
      <c r="N27" s="14">
        <v>250</v>
      </c>
      <c r="O27" s="12"/>
      <c r="P27" s="12"/>
    </row>
    <row r="28" spans="1:16" s="38" customFormat="1" ht="15.75" thickBot="1" x14ac:dyDescent="0.25">
      <c r="A28" s="73">
        <v>3</v>
      </c>
      <c r="B28" s="15" t="s">
        <v>16</v>
      </c>
      <c r="C28" s="15" t="s">
        <v>542</v>
      </c>
      <c r="D28" s="15">
        <v>322195</v>
      </c>
      <c r="E28" s="15" t="s">
        <v>17</v>
      </c>
      <c r="F28" s="15" t="s">
        <v>543</v>
      </c>
      <c r="G28" s="15" t="s">
        <v>18</v>
      </c>
      <c r="H28" s="15" t="s">
        <v>19</v>
      </c>
      <c r="I28" s="13">
        <v>46111</v>
      </c>
      <c r="J28" s="14">
        <v>29000</v>
      </c>
      <c r="K28" s="13">
        <v>46112</v>
      </c>
      <c r="L28" s="14">
        <v>29000</v>
      </c>
      <c r="M28" s="14">
        <f>+L28*20%</f>
        <v>5800</v>
      </c>
      <c r="N28" s="14">
        <v>250</v>
      </c>
      <c r="O28" s="12"/>
      <c r="P28" s="12"/>
    </row>
    <row r="29" spans="1:16" s="38" customFormat="1" ht="16.5" thickBot="1" x14ac:dyDescent="0.25">
      <c r="A29" s="140" t="s">
        <v>35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2"/>
    </row>
    <row r="30" spans="1:16" s="38" customFormat="1" x14ac:dyDescent="0.2">
      <c r="A30" s="73">
        <v>1</v>
      </c>
      <c r="B30" s="12" t="s">
        <v>458</v>
      </c>
      <c r="C30" s="12" t="s">
        <v>494</v>
      </c>
      <c r="D30" s="12">
        <v>320157</v>
      </c>
      <c r="E30" s="12" t="s">
        <v>32</v>
      </c>
      <c r="F30" s="12" t="s">
        <v>119</v>
      </c>
      <c r="G30" s="12" t="s">
        <v>20</v>
      </c>
      <c r="H30" s="12" t="s">
        <v>19</v>
      </c>
      <c r="I30" s="13">
        <v>46093</v>
      </c>
      <c r="J30" s="14">
        <v>33000</v>
      </c>
      <c r="K30" s="13">
        <v>46118</v>
      </c>
      <c r="L30" s="14">
        <v>33000</v>
      </c>
      <c r="M30" s="14">
        <f>+L30*20%</f>
        <v>6600</v>
      </c>
      <c r="N30" s="14">
        <v>250</v>
      </c>
      <c r="O30" s="12"/>
      <c r="P30" s="12"/>
    </row>
    <row r="31" spans="1:16" s="38" customFormat="1" ht="15.75" thickBot="1" x14ac:dyDescent="0.25">
      <c r="A31" s="73">
        <v>2</v>
      </c>
      <c r="B31" s="12" t="s">
        <v>16</v>
      </c>
      <c r="C31" s="12" t="s">
        <v>559</v>
      </c>
      <c r="D31" s="12">
        <v>323427</v>
      </c>
      <c r="E31" s="12" t="s">
        <v>17</v>
      </c>
      <c r="F31" s="12" t="s">
        <v>38</v>
      </c>
      <c r="G31" s="12" t="s">
        <v>18</v>
      </c>
      <c r="H31" s="12" t="s">
        <v>19</v>
      </c>
      <c r="I31" s="13">
        <v>46122</v>
      </c>
      <c r="J31" s="14">
        <v>25000</v>
      </c>
      <c r="K31" s="13">
        <v>46122</v>
      </c>
      <c r="L31" s="14">
        <v>25000</v>
      </c>
      <c r="M31" s="14">
        <f>+L31*5%</f>
        <v>1250</v>
      </c>
      <c r="N31" s="14">
        <v>250</v>
      </c>
      <c r="O31" s="12"/>
      <c r="P31" s="12"/>
    </row>
    <row r="32" spans="1:16" s="38" customFormat="1" ht="16.5" thickBot="1" x14ac:dyDescent="0.25">
      <c r="A32" s="140" t="s">
        <v>39</v>
      </c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2"/>
    </row>
    <row r="33" spans="1:16" s="38" customFormat="1" ht="15.75" thickBot="1" x14ac:dyDescent="0.25">
      <c r="A33" s="78">
        <v>1</v>
      </c>
      <c r="B33" s="80" t="s">
        <v>22</v>
      </c>
      <c r="C33" s="80" t="s">
        <v>566</v>
      </c>
      <c r="D33" s="80">
        <v>324860</v>
      </c>
      <c r="E33" s="80" t="s">
        <v>17</v>
      </c>
      <c r="F33" s="80" t="s">
        <v>567</v>
      </c>
      <c r="G33" s="80" t="s">
        <v>18</v>
      </c>
      <c r="H33" s="80" t="s">
        <v>19</v>
      </c>
      <c r="I33" s="20">
        <v>46134</v>
      </c>
      <c r="J33" s="21">
        <v>19000</v>
      </c>
      <c r="K33" s="20">
        <v>46161</v>
      </c>
      <c r="L33" s="21">
        <v>17500</v>
      </c>
      <c r="M33" s="21">
        <v>1000</v>
      </c>
      <c r="N33" s="21">
        <v>250</v>
      </c>
      <c r="O33" s="105"/>
      <c r="P33" s="105"/>
    </row>
    <row r="34" spans="1:16" s="38" customFormat="1" ht="16.5" thickBot="1" x14ac:dyDescent="0.25">
      <c r="A34" s="140" t="s">
        <v>42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2"/>
    </row>
    <row r="35" spans="1:16" s="38" customFormat="1" ht="15.75" thickBot="1" x14ac:dyDescent="0.25">
      <c r="A35" s="15">
        <v>1</v>
      </c>
      <c r="B35" s="15" t="s">
        <v>469</v>
      </c>
      <c r="C35" s="15" t="s">
        <v>600</v>
      </c>
      <c r="D35" s="15">
        <v>328355</v>
      </c>
      <c r="E35" s="15" t="s">
        <v>17</v>
      </c>
      <c r="F35" s="15" t="s">
        <v>548</v>
      </c>
      <c r="G35" s="15" t="s">
        <v>20</v>
      </c>
      <c r="H35" s="15" t="s">
        <v>19</v>
      </c>
      <c r="I35" s="16">
        <v>46163</v>
      </c>
      <c r="J35" s="17">
        <v>34000</v>
      </c>
      <c r="K35" s="13">
        <v>46177</v>
      </c>
      <c r="L35" s="14">
        <v>33800</v>
      </c>
      <c r="M35" s="14">
        <f>+L35*5%</f>
        <v>1690</v>
      </c>
      <c r="N35" s="14">
        <v>250</v>
      </c>
      <c r="O35" s="43"/>
      <c r="P35" s="12" t="s">
        <v>619</v>
      </c>
    </row>
    <row r="36" spans="1:16" s="38" customFormat="1" ht="16.5" thickBot="1" x14ac:dyDescent="0.25">
      <c r="A36" s="140" t="s">
        <v>49</v>
      </c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2"/>
    </row>
    <row r="37" spans="1:16" s="38" customFormat="1" ht="15.75" thickBot="1" x14ac:dyDescent="0.25">
      <c r="A37" s="43"/>
      <c r="B37" s="43"/>
      <c r="C37" s="43"/>
      <c r="D37" s="43"/>
      <c r="E37" s="43"/>
      <c r="F37" s="43"/>
      <c r="G37" s="43"/>
      <c r="H37" s="43"/>
      <c r="I37" s="12"/>
      <c r="J37" s="14"/>
      <c r="K37" s="12"/>
      <c r="L37" s="14"/>
      <c r="M37" s="14"/>
      <c r="N37" s="14"/>
      <c r="O37" s="43"/>
      <c r="P37" s="43"/>
    </row>
    <row r="38" spans="1:16" s="38" customFormat="1" ht="16.5" thickBot="1" x14ac:dyDescent="0.25">
      <c r="A38" s="140" t="s">
        <v>52</v>
      </c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2"/>
    </row>
    <row r="39" spans="1:16" s="5" customFormat="1" x14ac:dyDescent="0.25">
      <c r="A39" s="12">
        <v>1</v>
      </c>
      <c r="B39" s="12" t="s">
        <v>22</v>
      </c>
      <c r="C39" s="12" t="s">
        <v>643</v>
      </c>
      <c r="D39" s="12">
        <v>338066</v>
      </c>
      <c r="E39" s="12" t="s">
        <v>17</v>
      </c>
      <c r="F39" s="12" t="s">
        <v>647</v>
      </c>
      <c r="G39" s="12" t="s">
        <v>18</v>
      </c>
      <c r="H39" s="12" t="s">
        <v>19</v>
      </c>
      <c r="I39" s="13">
        <v>46234</v>
      </c>
      <c r="J39" s="14">
        <v>43000</v>
      </c>
      <c r="K39" s="13">
        <v>46241</v>
      </c>
      <c r="L39" s="14">
        <v>38000</v>
      </c>
      <c r="M39" s="14">
        <f>+L39*5%</f>
        <v>1900</v>
      </c>
      <c r="N39" s="14">
        <v>250</v>
      </c>
      <c r="O39" s="12"/>
      <c r="P39" s="12"/>
    </row>
    <row r="40" spans="1:16" s="5" customFormat="1" x14ac:dyDescent="0.25">
      <c r="A40" s="12">
        <v>2</v>
      </c>
      <c r="B40" s="15" t="s">
        <v>183</v>
      </c>
      <c r="C40" s="15" t="s">
        <v>588</v>
      </c>
      <c r="D40" s="15">
        <v>327075</v>
      </c>
      <c r="E40" s="15" t="s">
        <v>24</v>
      </c>
      <c r="F40" s="15" t="s">
        <v>589</v>
      </c>
      <c r="G40" s="15" t="s">
        <v>18</v>
      </c>
      <c r="H40" s="15" t="s">
        <v>19</v>
      </c>
      <c r="I40" s="13">
        <v>46153</v>
      </c>
      <c r="J40" s="14">
        <v>63000</v>
      </c>
      <c r="K40" s="13">
        <v>46246</v>
      </c>
      <c r="L40" s="14">
        <v>65000</v>
      </c>
      <c r="M40" s="14">
        <f>+L40*5%</f>
        <v>3250</v>
      </c>
      <c r="N40" s="14">
        <v>250</v>
      </c>
      <c r="O40" s="12"/>
      <c r="P40" s="12" t="s">
        <v>648</v>
      </c>
    </row>
    <row r="41" spans="1:16" s="5" customFormat="1" x14ac:dyDescent="0.25">
      <c r="A41" s="12">
        <v>3</v>
      </c>
      <c r="B41" s="12" t="s">
        <v>22</v>
      </c>
      <c r="C41" s="12" t="s">
        <v>148</v>
      </c>
      <c r="D41" s="12" t="s">
        <v>148</v>
      </c>
      <c r="E41" s="12" t="s">
        <v>17</v>
      </c>
      <c r="F41" s="12" t="s">
        <v>649</v>
      </c>
      <c r="G41" s="12" t="s">
        <v>148</v>
      </c>
      <c r="H41" s="12" t="s">
        <v>148</v>
      </c>
      <c r="I41" s="12" t="s">
        <v>148</v>
      </c>
      <c r="J41" s="14" t="s">
        <v>148</v>
      </c>
      <c r="K41" s="13">
        <v>46249</v>
      </c>
      <c r="L41" s="14">
        <v>46000</v>
      </c>
      <c r="M41" s="14">
        <f>+L41*5%</f>
        <v>2300</v>
      </c>
      <c r="N41" s="14" t="s">
        <v>148</v>
      </c>
      <c r="O41" s="12"/>
      <c r="P41" s="12" t="s">
        <v>650</v>
      </c>
    </row>
    <row r="42" spans="1:16" s="5" customFormat="1" x14ac:dyDescent="0.25">
      <c r="A42" s="128">
        <v>4</v>
      </c>
      <c r="B42" s="128" t="s">
        <v>265</v>
      </c>
      <c r="C42" s="128" t="s">
        <v>148</v>
      </c>
      <c r="D42" s="128" t="s">
        <v>148</v>
      </c>
      <c r="E42" s="128" t="s">
        <v>32</v>
      </c>
      <c r="F42" s="129" t="s">
        <v>651</v>
      </c>
      <c r="G42" s="128"/>
      <c r="H42" s="128"/>
      <c r="I42" s="128"/>
      <c r="J42" s="130"/>
      <c r="K42" s="131">
        <v>46248</v>
      </c>
      <c r="L42" s="130">
        <v>140</v>
      </c>
      <c r="M42" s="130">
        <v>280</v>
      </c>
      <c r="N42" s="130">
        <v>250</v>
      </c>
      <c r="O42" s="128"/>
      <c r="P42" s="128" t="s">
        <v>655</v>
      </c>
    </row>
    <row r="43" spans="1:16" s="5" customFormat="1" x14ac:dyDescent="0.25">
      <c r="A43" s="12">
        <v>5</v>
      </c>
      <c r="B43" s="15" t="s">
        <v>265</v>
      </c>
      <c r="C43" s="15" t="s">
        <v>592</v>
      </c>
      <c r="D43" s="15">
        <v>327393</v>
      </c>
      <c r="E43" s="15" t="s">
        <v>24</v>
      </c>
      <c r="F43" s="15" t="s">
        <v>593</v>
      </c>
      <c r="G43" s="15" t="s">
        <v>18</v>
      </c>
      <c r="H43" s="15" t="s">
        <v>19</v>
      </c>
      <c r="I43" s="13">
        <v>46155</v>
      </c>
      <c r="J43" s="14">
        <v>120000</v>
      </c>
      <c r="K43" s="13">
        <v>46252</v>
      </c>
      <c r="L43" s="14">
        <v>100000</v>
      </c>
      <c r="M43" s="14">
        <f>+L43*5%</f>
        <v>5000</v>
      </c>
      <c r="N43" s="14">
        <v>250</v>
      </c>
      <c r="O43" s="12"/>
      <c r="P43" s="12"/>
    </row>
    <row r="44" spans="1:16" s="5" customFormat="1" x14ac:dyDescent="0.25">
      <c r="A44" s="12">
        <v>6</v>
      </c>
      <c r="B44" s="12" t="s">
        <v>26</v>
      </c>
      <c r="C44" s="12" t="s">
        <v>415</v>
      </c>
      <c r="D44" s="12">
        <v>309808</v>
      </c>
      <c r="E44" s="12" t="s">
        <v>32</v>
      </c>
      <c r="F44" s="12" t="s">
        <v>433</v>
      </c>
      <c r="G44" s="12" t="s">
        <v>20</v>
      </c>
      <c r="H44" s="12" t="s">
        <v>21</v>
      </c>
      <c r="I44" s="13">
        <v>45999</v>
      </c>
      <c r="J44" s="14">
        <v>850</v>
      </c>
      <c r="K44" s="13">
        <v>46252</v>
      </c>
      <c r="L44" s="14">
        <v>800</v>
      </c>
      <c r="M44" s="14">
        <f>+L44</f>
        <v>800</v>
      </c>
      <c r="N44" s="14">
        <v>250</v>
      </c>
      <c r="O44" s="12"/>
      <c r="P44" s="12" t="s">
        <v>656</v>
      </c>
    </row>
    <row r="45" spans="1:16" s="5" customFormat="1" x14ac:dyDescent="0.25">
      <c r="A45" s="12">
        <v>7</v>
      </c>
      <c r="B45" s="12" t="s">
        <v>183</v>
      </c>
      <c r="C45" s="12" t="s">
        <v>148</v>
      </c>
      <c r="D45" s="12" t="s">
        <v>148</v>
      </c>
      <c r="E45" s="12" t="s">
        <v>645</v>
      </c>
      <c r="F45" s="12" t="s">
        <v>657</v>
      </c>
      <c r="G45" s="12" t="s">
        <v>148</v>
      </c>
      <c r="H45" s="12" t="s">
        <v>148</v>
      </c>
      <c r="I45" s="12" t="s">
        <v>148</v>
      </c>
      <c r="J45" s="14" t="s">
        <v>148</v>
      </c>
      <c r="K45" s="13">
        <v>46253</v>
      </c>
      <c r="L45" s="14">
        <v>1100</v>
      </c>
      <c r="M45" s="14">
        <v>1100</v>
      </c>
      <c r="N45" s="14" t="s">
        <v>148</v>
      </c>
      <c r="O45" s="12"/>
      <c r="P45" s="12" t="s">
        <v>658</v>
      </c>
    </row>
    <row r="46" spans="1:16" s="5" customFormat="1" ht="15.75" thickBot="1" x14ac:dyDescent="0.3">
      <c r="A46" s="12">
        <v>8</v>
      </c>
      <c r="B46" s="12" t="s">
        <v>183</v>
      </c>
      <c r="C46" s="15" t="s">
        <v>635</v>
      </c>
      <c r="D46" s="12">
        <v>335356</v>
      </c>
      <c r="E46" s="12" t="s">
        <v>24</v>
      </c>
      <c r="F46" s="12" t="s">
        <v>340</v>
      </c>
      <c r="G46" s="12" t="s">
        <v>18</v>
      </c>
      <c r="H46" s="12" t="s">
        <v>19</v>
      </c>
      <c r="I46" s="13">
        <v>46210</v>
      </c>
      <c r="J46" s="14">
        <v>38000</v>
      </c>
      <c r="K46" s="13">
        <v>46255</v>
      </c>
      <c r="L46" s="14">
        <v>38000</v>
      </c>
      <c r="M46" s="14">
        <f>+L46*5%</f>
        <v>1900</v>
      </c>
      <c r="N46" s="14">
        <v>250</v>
      </c>
      <c r="O46" s="12"/>
      <c r="P46" s="12"/>
    </row>
    <row r="47" spans="1:16" s="5" customFormat="1" ht="16.5" thickBot="1" x14ac:dyDescent="0.3">
      <c r="A47" s="140" t="s">
        <v>55</v>
      </c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2"/>
    </row>
    <row r="48" spans="1:16" s="5" customFormat="1" x14ac:dyDescent="0.25">
      <c r="A48" s="12">
        <v>1</v>
      </c>
      <c r="B48" s="15" t="s">
        <v>16</v>
      </c>
      <c r="C48" s="12" t="s">
        <v>497</v>
      </c>
      <c r="D48" s="12">
        <v>319958</v>
      </c>
      <c r="E48" s="12" t="s">
        <v>17</v>
      </c>
      <c r="F48" s="12" t="s">
        <v>679</v>
      </c>
      <c r="G48" s="12" t="s">
        <v>18</v>
      </c>
      <c r="H48" s="12" t="s">
        <v>19</v>
      </c>
      <c r="I48" s="13">
        <v>46091</v>
      </c>
      <c r="J48" s="14">
        <v>42000</v>
      </c>
      <c r="K48" s="13">
        <v>46273</v>
      </c>
      <c r="L48" s="14">
        <v>42000</v>
      </c>
      <c r="M48" s="14">
        <f>+L48*5%</f>
        <v>2100</v>
      </c>
      <c r="N48" s="14" t="s">
        <v>148</v>
      </c>
      <c r="O48" s="12"/>
      <c r="P48" s="12"/>
    </row>
    <row r="49" spans="1:16" s="5" customForma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4"/>
      <c r="K49" s="12"/>
      <c r="L49" s="14"/>
      <c r="M49" s="14"/>
      <c r="N49" s="14"/>
      <c r="O49" s="12"/>
      <c r="P49" s="12"/>
    </row>
    <row r="50" spans="1:16" s="5" customForma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4"/>
      <c r="K50" s="12"/>
      <c r="L50" s="14"/>
      <c r="M50" s="14"/>
      <c r="N50" s="14"/>
      <c r="O50" s="12"/>
      <c r="P50" s="12"/>
    </row>
    <row r="51" spans="1:16" s="5" customForma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4"/>
      <c r="K51" s="12"/>
      <c r="L51" s="14"/>
      <c r="M51" s="14"/>
      <c r="N51" s="14"/>
      <c r="O51" s="12"/>
      <c r="P51" s="12"/>
    </row>
    <row r="52" spans="1:16" s="5" customForma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4"/>
      <c r="K52" s="12"/>
      <c r="L52" s="14"/>
      <c r="M52" s="14"/>
      <c r="N52" s="14"/>
      <c r="O52" s="12"/>
      <c r="P52" s="12"/>
    </row>
    <row r="53" spans="1:16" s="38" customFormat="1" x14ac:dyDescent="0.2">
      <c r="I53" s="5"/>
      <c r="J53" s="90"/>
      <c r="K53" s="5"/>
      <c r="L53" s="90"/>
      <c r="M53" s="90"/>
      <c r="N53" s="90"/>
    </row>
    <row r="54" spans="1:16" s="38" customFormat="1" x14ac:dyDescent="0.2">
      <c r="I54" s="5"/>
      <c r="J54" s="90"/>
      <c r="K54" s="5"/>
      <c r="L54" s="90"/>
      <c r="M54" s="90"/>
      <c r="N54" s="90"/>
    </row>
    <row r="55" spans="1:16" s="38" customFormat="1" x14ac:dyDescent="0.2">
      <c r="I55" s="5"/>
      <c r="J55" s="90"/>
      <c r="K55" s="5"/>
      <c r="L55" s="90"/>
      <c r="M55" s="90"/>
      <c r="N55" s="90"/>
    </row>
    <row r="56" spans="1:16" s="38" customFormat="1" x14ac:dyDescent="0.2">
      <c r="I56" s="5"/>
      <c r="J56" s="90"/>
      <c r="K56" s="5"/>
      <c r="L56" s="90"/>
      <c r="M56" s="90"/>
      <c r="N56" s="90"/>
    </row>
    <row r="57" spans="1:16" s="38" customFormat="1" x14ac:dyDescent="0.2">
      <c r="I57" s="5"/>
      <c r="J57" s="90"/>
      <c r="K57" s="5"/>
      <c r="L57" s="90"/>
      <c r="M57" s="90"/>
      <c r="N57" s="90"/>
    </row>
    <row r="58" spans="1:16" s="38" customFormat="1" x14ac:dyDescent="0.2">
      <c r="I58" s="5"/>
      <c r="J58" s="90"/>
      <c r="K58" s="5"/>
      <c r="L58" s="90"/>
      <c r="M58" s="90"/>
      <c r="N58" s="90"/>
    </row>
    <row r="59" spans="1:16" s="38" customFormat="1" x14ac:dyDescent="0.2">
      <c r="I59" s="5"/>
      <c r="J59" s="90"/>
      <c r="K59" s="5"/>
      <c r="L59" s="90"/>
      <c r="M59" s="90"/>
      <c r="N59" s="90"/>
    </row>
    <row r="60" spans="1:16" s="38" customFormat="1" x14ac:dyDescent="0.2">
      <c r="I60" s="5"/>
      <c r="J60" s="90"/>
      <c r="K60" s="5"/>
      <c r="L60" s="90"/>
      <c r="M60" s="90"/>
      <c r="N60" s="90"/>
    </row>
    <row r="61" spans="1:16" s="38" customFormat="1" x14ac:dyDescent="0.2">
      <c r="I61" s="5"/>
      <c r="J61" s="90"/>
      <c r="K61" s="5"/>
      <c r="L61" s="90"/>
      <c r="M61" s="90"/>
      <c r="N61" s="90"/>
    </row>
    <row r="62" spans="1:16" s="38" customFormat="1" x14ac:dyDescent="0.2">
      <c r="I62" s="5"/>
      <c r="J62" s="90"/>
      <c r="K62" s="5"/>
      <c r="L62" s="90"/>
      <c r="M62" s="90"/>
      <c r="N62" s="90"/>
    </row>
    <row r="63" spans="1:16" s="38" customFormat="1" x14ac:dyDescent="0.2">
      <c r="I63" s="5"/>
      <c r="J63" s="90"/>
      <c r="K63" s="5"/>
      <c r="L63" s="90"/>
      <c r="M63" s="90"/>
      <c r="N63" s="90"/>
    </row>
    <row r="64" spans="1:16" s="38" customFormat="1" x14ac:dyDescent="0.2">
      <c r="I64" s="5"/>
      <c r="J64" s="90"/>
      <c r="K64" s="5"/>
      <c r="L64" s="90"/>
      <c r="M64" s="90"/>
      <c r="N64" s="90"/>
    </row>
    <row r="65" spans="9:14" s="38" customFormat="1" x14ac:dyDescent="0.2">
      <c r="I65" s="5"/>
      <c r="J65" s="90"/>
      <c r="K65" s="5"/>
      <c r="L65" s="90"/>
      <c r="M65" s="90"/>
      <c r="N65" s="90"/>
    </row>
    <row r="66" spans="9:14" s="38" customFormat="1" x14ac:dyDescent="0.2">
      <c r="I66" s="5"/>
      <c r="J66" s="90"/>
      <c r="K66" s="5"/>
      <c r="L66" s="90"/>
      <c r="M66" s="90"/>
      <c r="N66" s="90"/>
    </row>
    <row r="67" spans="9:14" s="38" customFormat="1" x14ac:dyDescent="0.2">
      <c r="I67" s="5"/>
      <c r="J67" s="5"/>
      <c r="K67" s="5"/>
      <c r="L67" s="90"/>
      <c r="M67" s="90"/>
      <c r="N67" s="90"/>
    </row>
    <row r="68" spans="9:14" s="38" customFormat="1" x14ac:dyDescent="0.2">
      <c r="I68" s="5"/>
      <c r="J68" s="5"/>
      <c r="K68" s="5"/>
      <c r="L68" s="90"/>
      <c r="M68" s="90"/>
      <c r="N68" s="90"/>
    </row>
    <row r="69" spans="9:14" s="38" customFormat="1" x14ac:dyDescent="0.2">
      <c r="L69" s="59"/>
      <c r="M69" s="59"/>
      <c r="N69" s="59"/>
    </row>
    <row r="70" spans="9:14" s="38" customFormat="1" x14ac:dyDescent="0.2">
      <c r="L70" s="59"/>
      <c r="M70" s="59"/>
      <c r="N70" s="59"/>
    </row>
    <row r="71" spans="9:14" s="38" customFormat="1" x14ac:dyDescent="0.2">
      <c r="L71" s="59"/>
      <c r="M71" s="59"/>
      <c r="N71" s="59"/>
    </row>
    <row r="72" spans="9:14" s="38" customFormat="1" x14ac:dyDescent="0.2">
      <c r="L72" s="59"/>
      <c r="M72" s="59"/>
      <c r="N72" s="59"/>
    </row>
    <row r="73" spans="9:14" s="38" customFormat="1" x14ac:dyDescent="0.2"/>
    <row r="74" spans="9:14" s="38" customFormat="1" x14ac:dyDescent="0.2"/>
  </sheetData>
  <mergeCells count="11">
    <mergeCell ref="A47:P47"/>
    <mergeCell ref="A38:P38"/>
    <mergeCell ref="A36:P36"/>
    <mergeCell ref="B3:L3"/>
    <mergeCell ref="A21:P21"/>
    <mergeCell ref="A25:P25"/>
    <mergeCell ref="A34:P34"/>
    <mergeCell ref="A32:P32"/>
    <mergeCell ref="A29:P29"/>
    <mergeCell ref="A12:P12"/>
    <mergeCell ref="A7:P7"/>
  </mergeCells>
  <pageMargins left="0.7" right="0.7" top="0.75" bottom="0.75" header="0.3" footer="0.3"/>
  <pageSetup orientation="portrait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7972-1083-4B18-B930-819DCEEC843C}">
  <sheetPr>
    <tabColor theme="5" tint="0.79998168889431442"/>
  </sheetPr>
  <dimension ref="A1:J323"/>
  <sheetViews>
    <sheetView topLeftCell="A37" workbookViewId="0">
      <selection activeCell="J58" sqref="J58"/>
    </sheetView>
  </sheetViews>
  <sheetFormatPr baseColWidth="10" defaultRowHeight="15" x14ac:dyDescent="0.25"/>
  <cols>
    <col min="1" max="1" width="6.7109375" customWidth="1"/>
    <col min="2" max="2" width="19.42578125" customWidth="1"/>
    <col min="3" max="3" width="14.140625" customWidth="1"/>
    <col min="4" max="4" width="12.42578125" customWidth="1"/>
    <col min="5" max="5" width="21.85546875" customWidth="1"/>
    <col min="6" max="6" width="38.85546875" bestFit="1" customWidth="1"/>
    <col min="7" max="7" width="20" customWidth="1"/>
    <col min="8" max="8" width="17.7109375" customWidth="1"/>
    <col min="9" max="9" width="32" bestFit="1" customWidth="1"/>
    <col min="10" max="10" width="41.85546875" customWidth="1"/>
  </cols>
  <sheetData>
    <row r="1" spans="1:10" x14ac:dyDescent="0.25">
      <c r="A1" s="5"/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5"/>
      <c r="B2" s="5"/>
      <c r="C2" s="5"/>
      <c r="D2" s="34"/>
      <c r="E2" s="5"/>
      <c r="F2" s="5"/>
      <c r="G2" s="5"/>
      <c r="H2" s="5"/>
      <c r="I2" s="5"/>
      <c r="J2" s="5"/>
    </row>
    <row r="3" spans="1:10" ht="15.75" x14ac:dyDescent="0.25">
      <c r="A3" s="143" t="s">
        <v>76</v>
      </c>
      <c r="B3" s="143"/>
      <c r="C3" s="143"/>
      <c r="D3" s="143"/>
      <c r="E3" s="143"/>
      <c r="F3" s="143"/>
      <c r="G3" s="143"/>
      <c r="H3" s="143"/>
      <c r="I3" s="143"/>
      <c r="J3" s="143"/>
    </row>
    <row r="4" spans="1:10" x14ac:dyDescent="0.25">
      <c r="A4" s="5"/>
      <c r="B4" s="5"/>
      <c r="C4" s="5"/>
      <c r="D4" s="5"/>
      <c r="E4" s="5"/>
      <c r="F4" s="5" t="s">
        <v>1</v>
      </c>
      <c r="G4" s="5"/>
      <c r="H4" s="5"/>
      <c r="I4" s="5"/>
      <c r="J4" s="5"/>
    </row>
    <row r="5" spans="1:10" ht="15.75" thickBot="1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32.25" thickBot="1" x14ac:dyDescent="0.3">
      <c r="A6" s="36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77</v>
      </c>
      <c r="H6" s="9" t="s">
        <v>73</v>
      </c>
      <c r="I6" s="9" t="s">
        <v>78</v>
      </c>
      <c r="J6" s="37" t="s">
        <v>14</v>
      </c>
    </row>
    <row r="7" spans="1:10" ht="16.5" thickBot="1" x14ac:dyDescent="0.3">
      <c r="A7" s="144" t="s">
        <v>79</v>
      </c>
      <c r="B7" s="145"/>
      <c r="C7" s="145"/>
      <c r="D7" s="145"/>
      <c r="E7" s="145"/>
      <c r="F7" s="145"/>
      <c r="G7" s="145"/>
      <c r="H7" s="145"/>
      <c r="I7" s="145"/>
      <c r="J7" s="146"/>
    </row>
    <row r="8" spans="1:10" x14ac:dyDescent="0.25">
      <c r="A8" s="19">
        <v>1</v>
      </c>
      <c r="B8" s="15" t="s">
        <v>183</v>
      </c>
      <c r="C8" s="15" t="s">
        <v>323</v>
      </c>
      <c r="D8" s="15">
        <v>293057</v>
      </c>
      <c r="E8" s="15" t="s">
        <v>17</v>
      </c>
      <c r="F8" s="15" t="s">
        <v>324</v>
      </c>
      <c r="G8" s="20">
        <v>46036</v>
      </c>
      <c r="H8" s="21">
        <v>33500</v>
      </c>
      <c r="I8" s="19"/>
      <c r="J8" s="19"/>
    </row>
    <row r="9" spans="1:10" x14ac:dyDescent="0.25">
      <c r="A9" s="12">
        <v>2</v>
      </c>
      <c r="B9" s="12" t="s">
        <v>183</v>
      </c>
      <c r="C9" s="12" t="s">
        <v>148</v>
      </c>
      <c r="D9" s="12" t="s">
        <v>148</v>
      </c>
      <c r="E9" s="12" t="s">
        <v>17</v>
      </c>
      <c r="F9" s="12" t="s">
        <v>426</v>
      </c>
      <c r="G9" s="13">
        <v>46036</v>
      </c>
      <c r="H9" s="14">
        <v>40000</v>
      </c>
      <c r="I9" s="42"/>
      <c r="J9" s="12"/>
    </row>
    <row r="10" spans="1:10" x14ac:dyDescent="0.25">
      <c r="A10" s="19">
        <v>3</v>
      </c>
      <c r="B10" s="15" t="s">
        <v>16</v>
      </c>
      <c r="C10" s="15" t="s">
        <v>308</v>
      </c>
      <c r="D10" s="15">
        <v>292137</v>
      </c>
      <c r="E10" s="15" t="s">
        <v>17</v>
      </c>
      <c r="F10" s="15" t="s">
        <v>309</v>
      </c>
      <c r="G10" s="20">
        <v>46043</v>
      </c>
      <c r="H10" s="21">
        <v>20000</v>
      </c>
      <c r="I10" s="19"/>
      <c r="J10" s="23"/>
    </row>
    <row r="11" spans="1:10" x14ac:dyDescent="0.25">
      <c r="A11" s="12">
        <v>4</v>
      </c>
      <c r="B11" s="15" t="s">
        <v>16</v>
      </c>
      <c r="C11" s="15" t="s">
        <v>400</v>
      </c>
      <c r="D11" s="15">
        <v>307320</v>
      </c>
      <c r="E11" s="15" t="s">
        <v>17</v>
      </c>
      <c r="F11" s="15" t="s">
        <v>36</v>
      </c>
      <c r="G11" s="13">
        <v>46044</v>
      </c>
      <c r="H11" s="14">
        <v>48000</v>
      </c>
      <c r="I11" s="42"/>
      <c r="J11" s="12"/>
    </row>
    <row r="12" spans="1:10" x14ac:dyDescent="0.25">
      <c r="A12" s="12">
        <v>5</v>
      </c>
      <c r="B12" s="12" t="s">
        <v>22</v>
      </c>
      <c r="C12" s="12" t="s">
        <v>348</v>
      </c>
      <c r="D12" s="12">
        <v>297746</v>
      </c>
      <c r="E12" s="12" t="s">
        <v>24</v>
      </c>
      <c r="F12" s="12" t="s">
        <v>307</v>
      </c>
      <c r="G12" s="13">
        <v>46049</v>
      </c>
      <c r="H12" s="14">
        <v>28000</v>
      </c>
      <c r="I12" s="26"/>
      <c r="J12" s="51"/>
    </row>
    <row r="13" spans="1:10" ht="15.75" thickBot="1" x14ac:dyDescent="0.3">
      <c r="A13" s="12">
        <v>6</v>
      </c>
      <c r="B13" s="12" t="s">
        <v>22</v>
      </c>
      <c r="C13" s="12" t="s">
        <v>414</v>
      </c>
      <c r="D13" s="12">
        <v>309727</v>
      </c>
      <c r="E13" s="12" t="s">
        <v>24</v>
      </c>
      <c r="F13" s="12" t="s">
        <v>185</v>
      </c>
      <c r="G13" s="13">
        <v>46049</v>
      </c>
      <c r="H13" s="14">
        <v>27000</v>
      </c>
      <c r="I13" s="12"/>
      <c r="J13" s="12"/>
    </row>
    <row r="14" spans="1:10" ht="16.5" thickBot="1" x14ac:dyDescent="0.3">
      <c r="A14" s="144" t="s">
        <v>31</v>
      </c>
      <c r="B14" s="145"/>
      <c r="C14" s="145"/>
      <c r="D14" s="145"/>
      <c r="E14" s="145"/>
      <c r="F14" s="145"/>
      <c r="G14" s="145"/>
      <c r="H14" s="145"/>
      <c r="I14" s="145"/>
      <c r="J14" s="146"/>
    </row>
    <row r="15" spans="1:10" x14ac:dyDescent="0.25">
      <c r="A15" s="12">
        <v>1</v>
      </c>
      <c r="B15" s="15" t="s">
        <v>16</v>
      </c>
      <c r="C15" s="15" t="s">
        <v>414</v>
      </c>
      <c r="D15" s="15">
        <v>307279</v>
      </c>
      <c r="E15" s="15" t="s">
        <v>17</v>
      </c>
      <c r="F15" s="15" t="s">
        <v>416</v>
      </c>
      <c r="G15" s="20">
        <v>46056</v>
      </c>
      <c r="H15" s="21">
        <v>18000</v>
      </c>
      <c r="I15" s="19"/>
      <c r="J15" s="12"/>
    </row>
    <row r="16" spans="1:10" x14ac:dyDescent="0.25">
      <c r="A16" s="12">
        <v>2</v>
      </c>
      <c r="B16" s="12" t="s">
        <v>265</v>
      </c>
      <c r="C16" s="12" t="s">
        <v>444</v>
      </c>
      <c r="D16" s="12">
        <v>313918</v>
      </c>
      <c r="E16" s="19" t="s">
        <v>24</v>
      </c>
      <c r="F16" s="19" t="s">
        <v>442</v>
      </c>
      <c r="G16" s="13">
        <v>46064</v>
      </c>
      <c r="H16" s="14">
        <v>32000</v>
      </c>
      <c r="I16" s="23"/>
      <c r="J16" s="12"/>
    </row>
    <row r="17" spans="1:10" x14ac:dyDescent="0.25">
      <c r="A17" s="12">
        <v>3</v>
      </c>
      <c r="B17" s="15" t="s">
        <v>16</v>
      </c>
      <c r="C17" s="15" t="s">
        <v>362</v>
      </c>
      <c r="D17" s="15">
        <v>300288</v>
      </c>
      <c r="E17" s="15" t="s">
        <v>17</v>
      </c>
      <c r="F17" s="15" t="s">
        <v>363</v>
      </c>
      <c r="G17" s="13">
        <v>46066</v>
      </c>
      <c r="H17" s="14">
        <v>25000</v>
      </c>
      <c r="I17" s="72"/>
      <c r="J17" s="23"/>
    </row>
    <row r="18" spans="1:10" x14ac:dyDescent="0.25">
      <c r="A18" s="12">
        <v>4</v>
      </c>
      <c r="B18" s="12" t="s">
        <v>16</v>
      </c>
      <c r="C18" s="12" t="s">
        <v>443</v>
      </c>
      <c r="D18" s="12">
        <v>314165</v>
      </c>
      <c r="E18" s="12" t="s">
        <v>23</v>
      </c>
      <c r="F18" s="12" t="s">
        <v>445</v>
      </c>
      <c r="G18" s="13">
        <v>46078</v>
      </c>
      <c r="H18" s="14">
        <v>45000</v>
      </c>
      <c r="I18" s="12"/>
      <c r="J18" s="12"/>
    </row>
    <row r="19" spans="1:10" x14ac:dyDescent="0.25">
      <c r="A19" s="12">
        <v>5</v>
      </c>
      <c r="B19" s="12" t="s">
        <v>26</v>
      </c>
      <c r="C19" s="15" t="s">
        <v>409</v>
      </c>
      <c r="D19" s="12">
        <v>309465</v>
      </c>
      <c r="E19" s="12" t="s">
        <v>32</v>
      </c>
      <c r="F19" s="12" t="s">
        <v>432</v>
      </c>
      <c r="G19" s="20">
        <v>46078</v>
      </c>
      <c r="H19" s="21">
        <v>650</v>
      </c>
      <c r="I19" s="19"/>
      <c r="J19" s="12"/>
    </row>
    <row r="20" spans="1:10" x14ac:dyDescent="0.25">
      <c r="A20" s="12">
        <v>6</v>
      </c>
      <c r="B20" s="12" t="s">
        <v>265</v>
      </c>
      <c r="C20" s="12" t="s">
        <v>506</v>
      </c>
      <c r="D20" s="12">
        <v>317324</v>
      </c>
      <c r="E20" s="12" t="s">
        <v>150</v>
      </c>
      <c r="F20" s="12" t="s">
        <v>207</v>
      </c>
      <c r="G20" s="13">
        <v>46078</v>
      </c>
      <c r="H20" s="14">
        <v>100</v>
      </c>
      <c r="I20" s="12"/>
      <c r="J20" s="12"/>
    </row>
    <row r="21" spans="1:10" x14ac:dyDescent="0.25">
      <c r="A21" s="12">
        <v>7</v>
      </c>
      <c r="B21" s="12" t="s">
        <v>16</v>
      </c>
      <c r="C21" s="12" t="s">
        <v>448</v>
      </c>
      <c r="D21" s="12">
        <v>314612</v>
      </c>
      <c r="E21" s="12" t="s">
        <v>41</v>
      </c>
      <c r="F21" s="12" t="s">
        <v>449</v>
      </c>
      <c r="G21" s="13">
        <v>46078</v>
      </c>
      <c r="H21" s="14">
        <v>23000</v>
      </c>
      <c r="I21" s="12"/>
      <c r="J21" s="12"/>
    </row>
    <row r="22" spans="1:10" x14ac:dyDescent="0.25">
      <c r="A22" s="12">
        <v>8</v>
      </c>
      <c r="B22" s="12" t="s">
        <v>22</v>
      </c>
      <c r="C22" s="12" t="s">
        <v>509</v>
      </c>
      <c r="D22" s="12">
        <v>318555</v>
      </c>
      <c r="E22" s="12" t="s">
        <v>41</v>
      </c>
      <c r="F22" s="12" t="s">
        <v>56</v>
      </c>
      <c r="G22" s="20">
        <v>46081</v>
      </c>
      <c r="H22" s="21">
        <v>175</v>
      </c>
      <c r="I22" s="23"/>
      <c r="J22" s="12"/>
    </row>
    <row r="23" spans="1:10" x14ac:dyDescent="0.25">
      <c r="A23" s="12">
        <v>9</v>
      </c>
      <c r="B23" s="12" t="s">
        <v>22</v>
      </c>
      <c r="C23" s="12" t="s">
        <v>510</v>
      </c>
      <c r="D23" s="12">
        <v>318557</v>
      </c>
      <c r="E23" s="12" t="s">
        <v>41</v>
      </c>
      <c r="F23" s="12" t="s">
        <v>56</v>
      </c>
      <c r="G23" s="20">
        <v>46081</v>
      </c>
      <c r="H23" s="21">
        <v>175</v>
      </c>
      <c r="I23" s="23"/>
      <c r="J23" s="23"/>
    </row>
    <row r="24" spans="1:10" ht="15.75" thickBot="1" x14ac:dyDescent="0.3">
      <c r="A24" s="12">
        <v>10</v>
      </c>
      <c r="B24" s="15" t="s">
        <v>458</v>
      </c>
      <c r="C24" s="15" t="s">
        <v>462</v>
      </c>
      <c r="D24" s="15">
        <v>315586</v>
      </c>
      <c r="E24" s="15" t="s">
        <v>23</v>
      </c>
      <c r="F24" s="15" t="s">
        <v>185</v>
      </c>
      <c r="G24" s="13">
        <v>46081</v>
      </c>
      <c r="H24" s="14">
        <v>62500</v>
      </c>
      <c r="I24" s="12"/>
      <c r="J24" s="12"/>
    </row>
    <row r="25" spans="1:10" ht="16.5" thickBot="1" x14ac:dyDescent="0.3">
      <c r="A25" s="144" t="s">
        <v>33</v>
      </c>
      <c r="B25" s="145"/>
      <c r="C25" s="145"/>
      <c r="D25" s="145"/>
      <c r="E25" s="145"/>
      <c r="F25" s="145"/>
      <c r="G25" s="145"/>
      <c r="H25" s="145"/>
      <c r="I25" s="145"/>
      <c r="J25" s="146"/>
    </row>
    <row r="26" spans="1:10" x14ac:dyDescent="0.25">
      <c r="A26" s="12">
        <v>1</v>
      </c>
      <c r="B26" s="12" t="s">
        <v>265</v>
      </c>
      <c r="C26" s="15" t="s">
        <v>121</v>
      </c>
      <c r="D26" s="12">
        <v>273392</v>
      </c>
      <c r="E26" s="12" t="s">
        <v>43</v>
      </c>
      <c r="F26" s="12" t="s">
        <v>518</v>
      </c>
      <c r="G26" s="13">
        <v>46087</v>
      </c>
      <c r="H26" s="14">
        <v>50000</v>
      </c>
      <c r="I26" s="71"/>
      <c r="J26" s="12"/>
    </row>
    <row r="27" spans="1:10" x14ac:dyDescent="0.25">
      <c r="A27" s="12">
        <v>2</v>
      </c>
      <c r="B27" s="15" t="s">
        <v>22</v>
      </c>
      <c r="C27" s="15" t="s">
        <v>365</v>
      </c>
      <c r="D27" s="15">
        <v>310341</v>
      </c>
      <c r="E27" s="15" t="s">
        <v>17</v>
      </c>
      <c r="F27" s="15" t="s">
        <v>519</v>
      </c>
      <c r="G27" s="16">
        <v>46097</v>
      </c>
      <c r="H27" s="14">
        <v>22500</v>
      </c>
      <c r="I27" s="12"/>
      <c r="J27" s="12"/>
    </row>
    <row r="28" spans="1:10" x14ac:dyDescent="0.25">
      <c r="A28" s="12">
        <v>3</v>
      </c>
      <c r="B28" s="15" t="s">
        <v>22</v>
      </c>
      <c r="C28" s="15" t="s">
        <v>169</v>
      </c>
      <c r="D28" s="15">
        <v>276901</v>
      </c>
      <c r="E28" s="15" t="s">
        <v>23</v>
      </c>
      <c r="F28" s="15" t="s">
        <v>170</v>
      </c>
      <c r="G28" s="20">
        <v>46097</v>
      </c>
      <c r="H28" s="21">
        <v>50000</v>
      </c>
      <c r="I28" s="19"/>
      <c r="J28" s="12"/>
    </row>
    <row r="29" spans="1:10" x14ac:dyDescent="0.25">
      <c r="A29" s="12">
        <v>4</v>
      </c>
      <c r="B29" s="12" t="s">
        <v>265</v>
      </c>
      <c r="C29" s="12" t="s">
        <v>393</v>
      </c>
      <c r="D29" s="12">
        <v>306118</v>
      </c>
      <c r="E29" s="12" t="s">
        <v>23</v>
      </c>
      <c r="F29" s="12" t="s">
        <v>340</v>
      </c>
      <c r="G29" s="13">
        <v>46098</v>
      </c>
      <c r="H29" s="14">
        <v>45000</v>
      </c>
      <c r="I29" s="12"/>
      <c r="J29" s="12"/>
    </row>
    <row r="30" spans="1:10" x14ac:dyDescent="0.25">
      <c r="A30" s="12">
        <v>5</v>
      </c>
      <c r="B30" s="12" t="s">
        <v>265</v>
      </c>
      <c r="C30" s="12" t="s">
        <v>360</v>
      </c>
      <c r="D30" s="12">
        <v>301786</v>
      </c>
      <c r="E30" s="12" t="s">
        <v>32</v>
      </c>
      <c r="F30" s="12" t="s">
        <v>378</v>
      </c>
      <c r="G30" s="13">
        <v>45734</v>
      </c>
      <c r="H30" s="14">
        <v>21000</v>
      </c>
      <c r="I30" s="12"/>
      <c r="J30" s="12"/>
    </row>
    <row r="31" spans="1:10" x14ac:dyDescent="0.25">
      <c r="A31" s="12">
        <v>6</v>
      </c>
      <c r="B31" s="12" t="s">
        <v>469</v>
      </c>
      <c r="C31" s="12" t="s">
        <v>515</v>
      </c>
      <c r="D31" s="12">
        <v>319669</v>
      </c>
      <c r="E31" s="12" t="s">
        <v>17</v>
      </c>
      <c r="F31" s="12" t="s">
        <v>100</v>
      </c>
      <c r="G31" s="13">
        <v>45735</v>
      </c>
      <c r="H31" s="14">
        <v>19000</v>
      </c>
      <c r="I31" s="12"/>
      <c r="J31" s="23"/>
    </row>
    <row r="32" spans="1:10" ht="15.75" thickBot="1" x14ac:dyDescent="0.3">
      <c r="A32" s="12">
        <v>7</v>
      </c>
      <c r="B32" s="15" t="s">
        <v>16</v>
      </c>
      <c r="C32" s="15" t="s">
        <v>148</v>
      </c>
      <c r="D32" s="15" t="s">
        <v>148</v>
      </c>
      <c r="E32" s="15" t="s">
        <v>37</v>
      </c>
      <c r="F32" s="15" t="s">
        <v>520</v>
      </c>
      <c r="G32" s="13">
        <v>45736</v>
      </c>
      <c r="H32" s="14">
        <v>280000</v>
      </c>
      <c r="I32" s="71"/>
      <c r="J32" s="12"/>
    </row>
    <row r="33" spans="1:10" ht="16.5" thickBot="1" x14ac:dyDescent="0.3">
      <c r="A33" s="144" t="s">
        <v>35</v>
      </c>
      <c r="B33" s="145"/>
      <c r="C33" s="145"/>
      <c r="D33" s="145"/>
      <c r="E33" s="145"/>
      <c r="F33" s="145"/>
      <c r="G33" s="145"/>
      <c r="H33" s="145"/>
      <c r="I33" s="145"/>
      <c r="J33" s="146"/>
    </row>
    <row r="34" spans="1:10" ht="15.75" x14ac:dyDescent="0.25">
      <c r="A34" s="73">
        <v>1</v>
      </c>
      <c r="B34" s="12" t="s">
        <v>458</v>
      </c>
      <c r="C34" s="12" t="s">
        <v>494</v>
      </c>
      <c r="D34" s="12">
        <v>320157</v>
      </c>
      <c r="E34" s="12" t="s">
        <v>32</v>
      </c>
      <c r="F34" s="12" t="s">
        <v>119</v>
      </c>
      <c r="G34" s="20">
        <v>46127</v>
      </c>
      <c r="H34" s="21">
        <v>33000</v>
      </c>
      <c r="I34" s="71"/>
      <c r="J34" s="12"/>
    </row>
    <row r="35" spans="1:10" x14ac:dyDescent="0.25">
      <c r="A35" s="12">
        <v>2</v>
      </c>
      <c r="B35" s="15" t="s">
        <v>469</v>
      </c>
      <c r="C35" s="15" t="s">
        <v>499</v>
      </c>
      <c r="D35" s="15">
        <v>319345</v>
      </c>
      <c r="E35" s="15" t="s">
        <v>17</v>
      </c>
      <c r="F35" s="15" t="s">
        <v>568</v>
      </c>
      <c r="G35" s="20">
        <v>46133</v>
      </c>
      <c r="H35" s="21">
        <v>17000</v>
      </c>
      <c r="I35" s="18" t="s">
        <v>570</v>
      </c>
      <c r="J35" s="12"/>
    </row>
    <row r="36" spans="1:10" x14ac:dyDescent="0.25">
      <c r="A36" s="12">
        <v>3</v>
      </c>
      <c r="B36" s="15" t="s">
        <v>265</v>
      </c>
      <c r="C36" s="15" t="s">
        <v>545</v>
      </c>
      <c r="D36" s="15">
        <v>322637</v>
      </c>
      <c r="E36" s="15" t="s">
        <v>17</v>
      </c>
      <c r="F36" s="15" t="s">
        <v>546</v>
      </c>
      <c r="G36" s="13">
        <v>46134</v>
      </c>
      <c r="H36" s="14">
        <v>24600</v>
      </c>
      <c r="I36" s="23" t="s">
        <v>569</v>
      </c>
      <c r="J36" s="12"/>
    </row>
    <row r="37" spans="1:10" x14ac:dyDescent="0.25">
      <c r="A37" s="12">
        <v>4</v>
      </c>
      <c r="B37" s="15" t="s">
        <v>16</v>
      </c>
      <c r="C37" s="15" t="s">
        <v>542</v>
      </c>
      <c r="D37" s="15">
        <v>322195</v>
      </c>
      <c r="E37" s="15" t="s">
        <v>17</v>
      </c>
      <c r="F37" s="15" t="s">
        <v>543</v>
      </c>
      <c r="G37" s="20">
        <v>46136</v>
      </c>
      <c r="H37" s="21">
        <v>29000</v>
      </c>
      <c r="I37" s="19"/>
      <c r="J37" s="23" t="s">
        <v>571</v>
      </c>
    </row>
    <row r="38" spans="1:10" ht="15.75" thickBot="1" x14ac:dyDescent="0.3">
      <c r="A38" s="12">
        <v>5</v>
      </c>
      <c r="B38" s="12" t="s">
        <v>183</v>
      </c>
      <c r="C38" s="12" t="s">
        <v>563</v>
      </c>
      <c r="D38" s="12">
        <v>324366</v>
      </c>
      <c r="E38" s="12" t="s">
        <v>17</v>
      </c>
      <c r="F38" s="12" t="s">
        <v>575</v>
      </c>
      <c r="G38" s="13">
        <v>46132</v>
      </c>
      <c r="H38" s="14">
        <v>500</v>
      </c>
      <c r="I38" s="23" t="s">
        <v>576</v>
      </c>
      <c r="J38" s="12"/>
    </row>
    <row r="39" spans="1:10" ht="16.5" thickBot="1" x14ac:dyDescent="0.3">
      <c r="A39" s="144" t="s">
        <v>39</v>
      </c>
      <c r="B39" s="145"/>
      <c r="C39" s="145"/>
      <c r="D39" s="145"/>
      <c r="E39" s="145"/>
      <c r="F39" s="145"/>
      <c r="G39" s="145"/>
      <c r="H39" s="145"/>
      <c r="I39" s="145"/>
      <c r="J39" s="146"/>
    </row>
    <row r="40" spans="1:10" ht="15.75" x14ac:dyDescent="0.25">
      <c r="A40" s="12">
        <v>1</v>
      </c>
      <c r="B40" s="12" t="s">
        <v>16</v>
      </c>
      <c r="C40" s="12" t="s">
        <v>559</v>
      </c>
      <c r="D40" s="12">
        <v>323427</v>
      </c>
      <c r="E40" s="12" t="s">
        <v>17</v>
      </c>
      <c r="F40" s="12" t="s">
        <v>38</v>
      </c>
      <c r="G40" s="13">
        <v>46147</v>
      </c>
      <c r="H40" s="74">
        <v>26000</v>
      </c>
      <c r="I40" s="26"/>
      <c r="J40" s="26"/>
    </row>
    <row r="41" spans="1:10" ht="15.75" x14ac:dyDescent="0.25">
      <c r="A41" s="12">
        <v>2</v>
      </c>
      <c r="B41" s="12" t="s">
        <v>16</v>
      </c>
      <c r="C41" s="12" t="s">
        <v>516</v>
      </c>
      <c r="D41" s="15">
        <v>320446</v>
      </c>
      <c r="E41" s="15" t="s">
        <v>17</v>
      </c>
      <c r="F41" s="15" t="s">
        <v>517</v>
      </c>
      <c r="G41" s="13">
        <v>46147</v>
      </c>
      <c r="H41" s="74">
        <v>25000</v>
      </c>
      <c r="I41" s="12"/>
      <c r="J41" s="12"/>
    </row>
    <row r="42" spans="1:10" ht="15.75" x14ac:dyDescent="0.25">
      <c r="A42" s="12">
        <v>3</v>
      </c>
      <c r="B42" s="15" t="s">
        <v>265</v>
      </c>
      <c r="C42" s="15" t="s">
        <v>148</v>
      </c>
      <c r="D42" s="15" t="s">
        <v>148</v>
      </c>
      <c r="E42" s="15" t="s">
        <v>17</v>
      </c>
      <c r="F42" s="15" t="s">
        <v>597</v>
      </c>
      <c r="G42" s="13">
        <v>46157</v>
      </c>
      <c r="H42" s="74">
        <v>300</v>
      </c>
      <c r="I42" s="12"/>
      <c r="J42" s="12"/>
    </row>
    <row r="43" spans="1:10" ht="16.5" thickBot="1" x14ac:dyDescent="0.3">
      <c r="A43" s="12">
        <v>4</v>
      </c>
      <c r="B43" s="15" t="s">
        <v>587</v>
      </c>
      <c r="C43" s="15" t="s">
        <v>590</v>
      </c>
      <c r="D43" s="15">
        <v>327087</v>
      </c>
      <c r="E43" s="15" t="s">
        <v>37</v>
      </c>
      <c r="F43" s="15" t="s">
        <v>591</v>
      </c>
      <c r="G43" s="13">
        <v>46162</v>
      </c>
      <c r="H43" s="74">
        <v>1500</v>
      </c>
      <c r="I43" s="12"/>
      <c r="J43" s="23"/>
    </row>
    <row r="44" spans="1:10" ht="16.5" thickBot="1" x14ac:dyDescent="0.3">
      <c r="A44" s="144" t="s">
        <v>42</v>
      </c>
      <c r="B44" s="145"/>
      <c r="C44" s="145"/>
      <c r="D44" s="145"/>
      <c r="E44" s="145"/>
      <c r="F44" s="145"/>
      <c r="G44" s="145"/>
      <c r="H44" s="145"/>
      <c r="I44" s="145"/>
      <c r="J44" s="146"/>
    </row>
    <row r="45" spans="1:10" ht="15.75" x14ac:dyDescent="0.25">
      <c r="A45" s="12">
        <v>1</v>
      </c>
      <c r="B45" s="15" t="s">
        <v>469</v>
      </c>
      <c r="C45" s="15" t="s">
        <v>600</v>
      </c>
      <c r="D45" s="15">
        <v>328355</v>
      </c>
      <c r="E45" s="15" t="s">
        <v>17</v>
      </c>
      <c r="F45" s="15" t="s">
        <v>548</v>
      </c>
      <c r="G45" s="13">
        <v>46179</v>
      </c>
      <c r="H45" s="74">
        <v>33800</v>
      </c>
      <c r="I45" s="44"/>
      <c r="J45" s="23" t="s">
        <v>641</v>
      </c>
    </row>
    <row r="46" spans="1:10" ht="15.75" x14ac:dyDescent="0.25">
      <c r="A46" s="12">
        <v>2</v>
      </c>
      <c r="B46" s="15" t="s">
        <v>22</v>
      </c>
      <c r="C46" s="15" t="s">
        <v>573</v>
      </c>
      <c r="D46" s="15">
        <v>324860</v>
      </c>
      <c r="E46" s="15" t="s">
        <v>17</v>
      </c>
      <c r="F46" s="15" t="s">
        <v>567</v>
      </c>
      <c r="G46" s="13">
        <v>46184</v>
      </c>
      <c r="H46" s="74">
        <v>17500</v>
      </c>
      <c r="I46" s="12"/>
      <c r="J46" s="12"/>
    </row>
    <row r="47" spans="1:10" ht="16.5" thickBot="1" x14ac:dyDescent="0.3">
      <c r="A47" s="12">
        <v>3</v>
      </c>
      <c r="B47" s="12" t="s">
        <v>22</v>
      </c>
      <c r="C47" s="12" t="s">
        <v>148</v>
      </c>
      <c r="D47" s="12" t="s">
        <v>148</v>
      </c>
      <c r="E47" s="12" t="s">
        <v>17</v>
      </c>
      <c r="F47" s="12" t="s">
        <v>639</v>
      </c>
      <c r="G47" s="13">
        <v>46188</v>
      </c>
      <c r="H47" s="74">
        <v>38000</v>
      </c>
      <c r="I47" s="12"/>
      <c r="J47" s="23" t="s">
        <v>438</v>
      </c>
    </row>
    <row r="48" spans="1:10" ht="16.5" thickBot="1" x14ac:dyDescent="0.3">
      <c r="A48" s="144" t="s">
        <v>49</v>
      </c>
      <c r="B48" s="145"/>
      <c r="C48" s="145"/>
      <c r="D48" s="145"/>
      <c r="E48" s="145"/>
      <c r="F48" s="145"/>
      <c r="G48" s="145"/>
      <c r="H48" s="145"/>
      <c r="I48" s="145"/>
      <c r="J48" s="146"/>
    </row>
    <row r="49" spans="1:10" s="5" customFormat="1" x14ac:dyDescent="0.25">
      <c r="A49" s="12">
        <v>1</v>
      </c>
      <c r="B49" s="12" t="s">
        <v>16</v>
      </c>
      <c r="C49" s="12" t="s">
        <v>434</v>
      </c>
      <c r="D49" s="12">
        <v>309793</v>
      </c>
      <c r="E49" s="12" t="s">
        <v>43</v>
      </c>
      <c r="F49" s="12" t="s">
        <v>96</v>
      </c>
      <c r="G49" s="13">
        <v>46206</v>
      </c>
      <c r="H49" s="14">
        <v>18000</v>
      </c>
      <c r="I49" s="12"/>
      <c r="J49" s="23" t="s">
        <v>642</v>
      </c>
    </row>
    <row r="50" spans="1:10" s="5" customFormat="1" x14ac:dyDescent="0.25">
      <c r="A50" s="12">
        <v>2</v>
      </c>
      <c r="B50" s="15" t="s">
        <v>16</v>
      </c>
      <c r="C50" s="15" t="s">
        <v>583</v>
      </c>
      <c r="D50" s="15">
        <v>326863</v>
      </c>
      <c r="E50" s="15" t="s">
        <v>17</v>
      </c>
      <c r="F50" s="15" t="s">
        <v>34</v>
      </c>
      <c r="G50" s="13">
        <v>46206</v>
      </c>
      <c r="H50" s="14">
        <v>27000</v>
      </c>
      <c r="I50" s="25"/>
      <c r="J50" s="12"/>
    </row>
    <row r="51" spans="1:10" s="5" customFormat="1" ht="15.75" thickBot="1" x14ac:dyDescent="0.3">
      <c r="A51" s="12">
        <v>3</v>
      </c>
      <c r="B51" s="15" t="s">
        <v>22</v>
      </c>
      <c r="C51" s="15" t="s">
        <v>629</v>
      </c>
      <c r="D51" s="15">
        <v>332328</v>
      </c>
      <c r="E51" s="15" t="s">
        <v>618</v>
      </c>
      <c r="F51" s="15" t="s">
        <v>532</v>
      </c>
      <c r="G51" s="13">
        <v>46210</v>
      </c>
      <c r="H51" s="14">
        <v>1600</v>
      </c>
      <c r="I51" s="12"/>
      <c r="J51" s="12"/>
    </row>
    <row r="52" spans="1:10" s="5" customFormat="1" ht="16.5" thickBot="1" x14ac:dyDescent="0.3">
      <c r="A52" s="144" t="s">
        <v>52</v>
      </c>
      <c r="B52" s="145"/>
      <c r="C52" s="145"/>
      <c r="D52" s="145"/>
      <c r="E52" s="145"/>
      <c r="F52" s="145"/>
      <c r="G52" s="145"/>
      <c r="H52" s="145"/>
      <c r="I52" s="145"/>
      <c r="J52" s="146"/>
    </row>
    <row r="53" spans="1:10" s="5" customFormat="1" x14ac:dyDescent="0.25">
      <c r="A53" s="12">
        <v>1</v>
      </c>
      <c r="B53" s="12" t="s">
        <v>22</v>
      </c>
      <c r="C53" s="12" t="s">
        <v>643</v>
      </c>
      <c r="D53" s="12">
        <v>338066</v>
      </c>
      <c r="E53" s="12" t="s">
        <v>17</v>
      </c>
      <c r="F53" s="12" t="s">
        <v>647</v>
      </c>
      <c r="G53" s="13">
        <v>46247</v>
      </c>
      <c r="H53" s="14">
        <v>38000</v>
      </c>
      <c r="I53" s="12"/>
      <c r="J53" s="12"/>
    </row>
    <row r="54" spans="1:10" s="5" customFormat="1" x14ac:dyDescent="0.25">
      <c r="A54" s="12">
        <v>2</v>
      </c>
      <c r="B54" s="12" t="s">
        <v>265</v>
      </c>
      <c r="C54" s="12" t="s">
        <v>148</v>
      </c>
      <c r="D54" s="12" t="s">
        <v>148</v>
      </c>
      <c r="E54" s="12" t="s">
        <v>32</v>
      </c>
      <c r="F54" s="127" t="s">
        <v>651</v>
      </c>
      <c r="G54" s="13">
        <v>46248</v>
      </c>
      <c r="H54" s="14">
        <v>140</v>
      </c>
      <c r="I54" s="12"/>
      <c r="J54" s="12"/>
    </row>
    <row r="55" spans="1:10" s="5" customFormat="1" x14ac:dyDescent="0.25">
      <c r="A55" s="12">
        <v>3</v>
      </c>
      <c r="B55" s="12" t="s">
        <v>26</v>
      </c>
      <c r="C55" s="12" t="s">
        <v>415</v>
      </c>
      <c r="D55" s="12">
        <v>309808</v>
      </c>
      <c r="E55" s="12" t="s">
        <v>32</v>
      </c>
      <c r="F55" s="12" t="s">
        <v>433</v>
      </c>
      <c r="G55" s="13">
        <v>46252</v>
      </c>
      <c r="H55" s="14">
        <v>800</v>
      </c>
      <c r="I55" s="12"/>
      <c r="J55" s="23"/>
    </row>
    <row r="56" spans="1:10" s="5" customFormat="1" x14ac:dyDescent="0.25">
      <c r="A56" s="12">
        <v>4</v>
      </c>
      <c r="B56" s="12" t="s">
        <v>183</v>
      </c>
      <c r="C56" s="12" t="s">
        <v>148</v>
      </c>
      <c r="D56" s="12" t="s">
        <v>148</v>
      </c>
      <c r="E56" s="12" t="s">
        <v>645</v>
      </c>
      <c r="F56" s="12" t="s">
        <v>657</v>
      </c>
      <c r="G56" s="13">
        <v>46253</v>
      </c>
      <c r="H56" s="14">
        <v>1100</v>
      </c>
      <c r="I56" s="12"/>
      <c r="J56" s="12"/>
    </row>
    <row r="57" spans="1:10" s="5" customFormat="1" x14ac:dyDescent="0.25">
      <c r="A57" s="12">
        <v>5</v>
      </c>
      <c r="B57" s="12" t="s">
        <v>183</v>
      </c>
      <c r="C57" s="15" t="s">
        <v>635</v>
      </c>
      <c r="D57" s="12">
        <v>335356</v>
      </c>
      <c r="E57" s="12" t="s">
        <v>24</v>
      </c>
      <c r="F57" s="12" t="s">
        <v>340</v>
      </c>
      <c r="G57" s="13">
        <v>46255</v>
      </c>
      <c r="H57" s="14">
        <v>38000</v>
      </c>
      <c r="I57" s="12"/>
      <c r="J57" s="23"/>
    </row>
    <row r="58" spans="1:10" s="5" customFormat="1" ht="15.75" thickBot="1" x14ac:dyDescent="0.3">
      <c r="A58" s="12">
        <v>6</v>
      </c>
      <c r="B58" s="12" t="s">
        <v>22</v>
      </c>
      <c r="C58" s="12" t="s">
        <v>148</v>
      </c>
      <c r="D58" s="12" t="s">
        <v>148</v>
      </c>
      <c r="E58" s="12" t="s">
        <v>17</v>
      </c>
      <c r="F58" s="12" t="s">
        <v>649</v>
      </c>
      <c r="G58" s="13">
        <v>46259</v>
      </c>
      <c r="H58" s="14">
        <v>46000</v>
      </c>
      <c r="I58" s="12"/>
      <c r="J58" s="23" t="s">
        <v>661</v>
      </c>
    </row>
    <row r="59" spans="1:10" s="5" customFormat="1" ht="16.5" thickBot="1" x14ac:dyDescent="0.3">
      <c r="A59" s="144" t="s">
        <v>55</v>
      </c>
      <c r="B59" s="145"/>
      <c r="C59" s="145"/>
      <c r="D59" s="145"/>
      <c r="E59" s="145"/>
      <c r="F59" s="145"/>
      <c r="G59" s="145"/>
      <c r="H59" s="145"/>
      <c r="I59" s="145"/>
      <c r="J59" s="146"/>
    </row>
    <row r="60" spans="1:10" s="5" customFormat="1" x14ac:dyDescent="0.25">
      <c r="A60" s="12"/>
      <c r="B60" s="12"/>
      <c r="C60" s="12"/>
      <c r="D60" s="12"/>
      <c r="E60" s="12"/>
      <c r="F60" s="12"/>
      <c r="G60" s="13"/>
      <c r="H60" s="14"/>
      <c r="I60" s="12"/>
      <c r="J60" s="23"/>
    </row>
    <row r="61" spans="1:10" s="5" customFormat="1" x14ac:dyDescent="0.25">
      <c r="A61" s="12"/>
      <c r="B61" s="12"/>
      <c r="C61" s="12"/>
      <c r="D61" s="12"/>
      <c r="E61" s="12"/>
      <c r="F61" s="12"/>
      <c r="G61" s="13"/>
      <c r="H61" s="14"/>
      <c r="I61" s="12"/>
      <c r="J61" s="23"/>
    </row>
    <row r="62" spans="1:10" s="5" customFormat="1" x14ac:dyDescent="0.25">
      <c r="A62" s="12"/>
      <c r="B62" s="12"/>
      <c r="C62" s="12"/>
      <c r="D62" s="12"/>
      <c r="E62" s="12"/>
      <c r="F62" s="12"/>
      <c r="G62" s="13"/>
      <c r="H62" s="14"/>
      <c r="I62" s="12"/>
      <c r="J62" s="12"/>
    </row>
    <row r="63" spans="1:10" s="5" customFormat="1" x14ac:dyDescent="0.25">
      <c r="A63" s="12"/>
      <c r="B63" s="12"/>
      <c r="C63" s="12"/>
      <c r="D63" s="12"/>
      <c r="E63" s="12"/>
      <c r="F63" s="12"/>
      <c r="G63" s="12"/>
      <c r="H63" s="14"/>
      <c r="I63" s="12"/>
      <c r="J63" s="12"/>
    </row>
    <row r="64" spans="1:10" s="5" customFormat="1" x14ac:dyDescent="0.25">
      <c r="A64" s="12"/>
      <c r="B64" s="12"/>
      <c r="C64" s="12"/>
      <c r="D64" s="12"/>
      <c r="E64" s="12"/>
      <c r="F64" s="12"/>
      <c r="G64" s="12"/>
      <c r="H64" s="14"/>
      <c r="I64" s="12"/>
      <c r="J64" s="12"/>
    </row>
    <row r="65" spans="1:10" s="5" customFormat="1" x14ac:dyDescent="0.25">
      <c r="A65" s="12"/>
      <c r="B65" s="12"/>
      <c r="C65" s="12"/>
      <c r="D65" s="12"/>
      <c r="E65" s="12"/>
      <c r="F65" s="12"/>
      <c r="G65" s="12"/>
      <c r="H65" s="14"/>
      <c r="I65" s="12"/>
      <c r="J65" s="12"/>
    </row>
    <row r="66" spans="1:10" s="5" customFormat="1" x14ac:dyDescent="0.25">
      <c r="A66" s="12"/>
      <c r="B66" s="12"/>
      <c r="C66" s="12"/>
      <c r="D66" s="12"/>
      <c r="E66" s="12"/>
      <c r="F66" s="12"/>
      <c r="G66" s="12"/>
      <c r="H66" s="14"/>
      <c r="I66" s="12"/>
      <c r="J66" s="12"/>
    </row>
    <row r="67" spans="1:10" s="5" customFormat="1" x14ac:dyDescent="0.25">
      <c r="A67" s="12"/>
      <c r="B67" s="12"/>
      <c r="C67" s="12"/>
      <c r="D67" s="12"/>
      <c r="E67" s="12"/>
      <c r="F67" s="12"/>
      <c r="G67" s="12"/>
      <c r="H67" s="14"/>
      <c r="I67" s="12"/>
      <c r="J67" s="12"/>
    </row>
    <row r="68" spans="1:10" s="5" customFormat="1" x14ac:dyDescent="0.25">
      <c r="H68" s="90"/>
    </row>
    <row r="69" spans="1:10" s="5" customFormat="1" x14ac:dyDescent="0.25">
      <c r="H69" s="90"/>
    </row>
    <row r="70" spans="1:10" s="5" customFormat="1" x14ac:dyDescent="0.25">
      <c r="H70" s="90"/>
    </row>
    <row r="71" spans="1:10" s="5" customFormat="1" x14ac:dyDescent="0.25">
      <c r="H71" s="90"/>
    </row>
    <row r="72" spans="1:10" s="5" customFormat="1" x14ac:dyDescent="0.25">
      <c r="H72" s="90"/>
    </row>
    <row r="73" spans="1:10" s="5" customFormat="1" x14ac:dyDescent="0.25">
      <c r="H73" s="90"/>
    </row>
    <row r="74" spans="1:10" s="5" customFormat="1" x14ac:dyDescent="0.25">
      <c r="H74" s="90"/>
    </row>
    <row r="75" spans="1:10" s="5" customFormat="1" x14ac:dyDescent="0.25">
      <c r="H75" s="90"/>
    </row>
    <row r="76" spans="1:10" s="5" customFormat="1" x14ac:dyDescent="0.25">
      <c r="H76" s="90"/>
    </row>
    <row r="77" spans="1:10" s="5" customFormat="1" x14ac:dyDescent="0.25">
      <c r="H77" s="90"/>
    </row>
    <row r="78" spans="1:10" s="5" customFormat="1" x14ac:dyDescent="0.25">
      <c r="H78" s="90"/>
    </row>
    <row r="79" spans="1:10" s="5" customFormat="1" x14ac:dyDescent="0.25">
      <c r="H79" s="90"/>
    </row>
    <row r="80" spans="1:10" s="5" customFormat="1" x14ac:dyDescent="0.25">
      <c r="H80" s="90"/>
    </row>
    <row r="81" spans="8:8" s="5" customFormat="1" x14ac:dyDescent="0.25">
      <c r="H81" s="90"/>
    </row>
    <row r="82" spans="8:8" s="5" customFormat="1" x14ac:dyDescent="0.25">
      <c r="H82" s="90"/>
    </row>
    <row r="83" spans="8:8" s="5" customFormat="1" x14ac:dyDescent="0.25">
      <c r="H83" s="90"/>
    </row>
    <row r="84" spans="8:8" s="5" customFormat="1" x14ac:dyDescent="0.25">
      <c r="H84" s="90"/>
    </row>
    <row r="85" spans="8:8" s="5" customFormat="1" x14ac:dyDescent="0.25">
      <c r="H85" s="90"/>
    </row>
    <row r="86" spans="8:8" s="5" customFormat="1" x14ac:dyDescent="0.25">
      <c r="H86" s="90"/>
    </row>
    <row r="87" spans="8:8" s="5" customFormat="1" x14ac:dyDescent="0.25">
      <c r="H87" s="90"/>
    </row>
    <row r="88" spans="8:8" s="5" customFormat="1" x14ac:dyDescent="0.25">
      <c r="H88" s="90"/>
    </row>
    <row r="89" spans="8:8" s="5" customFormat="1" x14ac:dyDescent="0.25">
      <c r="H89" s="90"/>
    </row>
    <row r="90" spans="8:8" s="5" customFormat="1" x14ac:dyDescent="0.25">
      <c r="H90" s="90"/>
    </row>
    <row r="91" spans="8:8" s="5" customFormat="1" x14ac:dyDescent="0.25">
      <c r="H91" s="90"/>
    </row>
    <row r="92" spans="8:8" s="5" customFormat="1" x14ac:dyDescent="0.25">
      <c r="H92" s="90"/>
    </row>
    <row r="93" spans="8:8" s="5" customFormat="1" x14ac:dyDescent="0.25"/>
    <row r="94" spans="8:8" s="5" customFormat="1" x14ac:dyDescent="0.25"/>
    <row r="95" spans="8:8" s="5" customFormat="1" x14ac:dyDescent="0.25"/>
    <row r="96" spans="8:8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</sheetData>
  <autoFilter ref="A6:J50" xr:uid="{70AC7972-1083-4B18-B930-819DCEEC843C}"/>
  <mergeCells count="10">
    <mergeCell ref="A3:J3"/>
    <mergeCell ref="A7:J7"/>
    <mergeCell ref="A14:J14"/>
    <mergeCell ref="A25:J25"/>
    <mergeCell ref="A33:J33"/>
    <mergeCell ref="A59:J59"/>
    <mergeCell ref="A52:J52"/>
    <mergeCell ref="A48:J48"/>
    <mergeCell ref="A44:J44"/>
    <mergeCell ref="A39:J39"/>
  </mergeCells>
  <pageMargins left="0.7" right="0.7" top="0.75" bottom="0.75" header="0.3" footer="0.3"/>
  <pageSetup orientation="portrait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A173-6D8A-411A-B1C2-5BAE9AF65BD9}">
  <sheetPr>
    <tabColor rgb="FFFFFF00"/>
  </sheetPr>
  <dimension ref="A1:O104"/>
  <sheetViews>
    <sheetView topLeftCell="A34" workbookViewId="0">
      <selection activeCell="A60" sqref="A60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8.85546875" bestFit="1" customWidth="1"/>
    <col min="7" max="7" width="13" customWidth="1"/>
    <col min="8" max="9" width="13.5703125" customWidth="1"/>
    <col min="10" max="10" width="12.42578125" customWidth="1"/>
    <col min="11" max="11" width="12.85546875" customWidth="1"/>
    <col min="12" max="12" width="11.5703125" customWidth="1"/>
    <col min="13" max="13" width="13" bestFit="1" customWidth="1"/>
    <col min="14" max="14" width="32" bestFit="1" customWidth="1"/>
    <col min="15" max="15" width="32.42578125" customWidth="1"/>
  </cols>
  <sheetData>
    <row r="1" spans="1:15" ht="15.75" x14ac:dyDescent="0.25">
      <c r="A1" s="57"/>
      <c r="B1" s="38"/>
      <c r="C1" s="58"/>
      <c r="D1" s="58"/>
      <c r="E1" s="58"/>
      <c r="F1" s="38"/>
      <c r="G1" s="5"/>
      <c r="H1" s="59"/>
      <c r="I1" s="59"/>
      <c r="J1" s="38"/>
      <c r="K1" s="38"/>
      <c r="L1" s="38"/>
      <c r="M1" s="38"/>
      <c r="N1" s="5"/>
      <c r="O1" s="5"/>
    </row>
    <row r="2" spans="1:15" ht="15.75" x14ac:dyDescent="0.25">
      <c r="A2" s="57"/>
      <c r="B2" s="58"/>
      <c r="C2" s="58"/>
      <c r="D2" s="60"/>
      <c r="E2" s="58"/>
      <c r="F2" s="58"/>
      <c r="G2" s="5"/>
      <c r="H2" s="59"/>
      <c r="I2" s="59"/>
      <c r="J2" s="38"/>
      <c r="K2" s="38"/>
      <c r="L2" s="38"/>
      <c r="M2" s="38"/>
      <c r="N2" s="5"/>
      <c r="O2" s="5"/>
    </row>
    <row r="3" spans="1:15" ht="15.75" x14ac:dyDescent="0.25">
      <c r="A3" s="143" t="s">
        <v>134</v>
      </c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35"/>
    </row>
    <row r="4" spans="1:15" ht="15.75" x14ac:dyDescent="0.25">
      <c r="A4" s="57"/>
      <c r="B4" s="58"/>
      <c r="C4" s="58"/>
      <c r="D4" s="58"/>
      <c r="E4" s="58"/>
      <c r="F4" s="58" t="s">
        <v>1</v>
      </c>
      <c r="G4" s="5"/>
      <c r="H4" s="59"/>
      <c r="I4" s="59"/>
      <c r="J4" s="38"/>
      <c r="K4" s="38"/>
      <c r="L4" s="38"/>
      <c r="M4" s="38"/>
      <c r="N4" s="5"/>
      <c r="O4" s="5"/>
    </row>
    <row r="5" spans="1:15" ht="16.5" thickBot="1" x14ac:dyDescent="0.3">
      <c r="A5" s="57"/>
      <c r="B5" s="38"/>
      <c r="C5" s="58"/>
      <c r="D5" s="58"/>
      <c r="E5" s="58"/>
      <c r="F5" s="38"/>
      <c r="G5" s="5"/>
      <c r="H5" s="59"/>
      <c r="I5" s="59"/>
      <c r="J5" s="38"/>
      <c r="K5" s="38"/>
      <c r="L5" s="38"/>
      <c r="M5" s="38"/>
      <c r="N5" s="5"/>
      <c r="O5" s="5"/>
    </row>
    <row r="6" spans="1:15" ht="39" thickBot="1" x14ac:dyDescent="0.3">
      <c r="A6" s="61" t="s">
        <v>2</v>
      </c>
      <c r="B6" s="7" t="s">
        <v>3</v>
      </c>
      <c r="C6" s="62" t="s">
        <v>4</v>
      </c>
      <c r="D6" s="7" t="s">
        <v>5</v>
      </c>
      <c r="E6" s="62" t="s">
        <v>6</v>
      </c>
      <c r="F6" s="7" t="s">
        <v>7</v>
      </c>
      <c r="G6" s="63" t="s">
        <v>77</v>
      </c>
      <c r="H6" s="64" t="s">
        <v>73</v>
      </c>
      <c r="I6" s="65" t="s">
        <v>135</v>
      </c>
      <c r="J6" s="7" t="s">
        <v>136</v>
      </c>
      <c r="K6" s="62" t="s">
        <v>3</v>
      </c>
      <c r="L6" s="7" t="s">
        <v>137</v>
      </c>
      <c r="M6" s="62" t="s">
        <v>3</v>
      </c>
      <c r="N6" s="37" t="s">
        <v>80</v>
      </c>
      <c r="O6" s="37" t="s">
        <v>14</v>
      </c>
    </row>
    <row r="7" spans="1:15" ht="16.5" thickBot="1" x14ac:dyDescent="0.3">
      <c r="A7" s="150" t="s">
        <v>15</v>
      </c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2"/>
    </row>
    <row r="8" spans="1:15" x14ac:dyDescent="0.25">
      <c r="A8" s="19">
        <v>1</v>
      </c>
      <c r="B8" s="15" t="s">
        <v>183</v>
      </c>
      <c r="C8" s="15" t="s">
        <v>323</v>
      </c>
      <c r="D8" s="15">
        <v>293057</v>
      </c>
      <c r="E8" s="15" t="s">
        <v>17</v>
      </c>
      <c r="F8" s="15" t="s">
        <v>324</v>
      </c>
      <c r="G8" s="20">
        <v>46036</v>
      </c>
      <c r="H8" s="21">
        <v>33500</v>
      </c>
      <c r="I8" s="21">
        <f t="shared" ref="I8:I13" si="0">+H8*5%</f>
        <v>1675</v>
      </c>
      <c r="J8" s="21">
        <f t="shared" ref="J8:J13" si="1">+I8/2</f>
        <v>837.5</v>
      </c>
      <c r="K8" s="21" t="s">
        <v>439</v>
      </c>
      <c r="L8" s="21">
        <f t="shared" ref="L8:L13" si="2">+I8/2</f>
        <v>837.5</v>
      </c>
      <c r="M8" s="21" t="s">
        <v>439</v>
      </c>
      <c r="N8" s="19"/>
      <c r="O8" s="23"/>
    </row>
    <row r="9" spans="1:15" x14ac:dyDescent="0.25">
      <c r="A9" s="12">
        <v>2</v>
      </c>
      <c r="B9" s="12" t="s">
        <v>183</v>
      </c>
      <c r="C9" s="12" t="s">
        <v>148</v>
      </c>
      <c r="D9" s="12" t="s">
        <v>148</v>
      </c>
      <c r="E9" s="12" t="s">
        <v>17</v>
      </c>
      <c r="F9" s="12" t="s">
        <v>426</v>
      </c>
      <c r="G9" s="13">
        <v>46036</v>
      </c>
      <c r="H9" s="14">
        <v>40000</v>
      </c>
      <c r="I9" s="14">
        <f t="shared" si="0"/>
        <v>2000</v>
      </c>
      <c r="J9" s="14">
        <f t="shared" si="1"/>
        <v>1000</v>
      </c>
      <c r="K9" s="14" t="s">
        <v>440</v>
      </c>
      <c r="L9" s="14">
        <f t="shared" si="2"/>
        <v>1000</v>
      </c>
      <c r="M9" s="14" t="s">
        <v>439</v>
      </c>
      <c r="N9" s="42"/>
      <c r="O9" s="23"/>
    </row>
    <row r="10" spans="1:15" x14ac:dyDescent="0.25">
      <c r="A10" s="19">
        <v>3</v>
      </c>
      <c r="B10" s="15" t="s">
        <v>16</v>
      </c>
      <c r="C10" s="15" t="s">
        <v>308</v>
      </c>
      <c r="D10" s="15">
        <v>292137</v>
      </c>
      <c r="E10" s="15" t="s">
        <v>17</v>
      </c>
      <c r="F10" s="15" t="s">
        <v>309</v>
      </c>
      <c r="G10" s="20">
        <v>46043</v>
      </c>
      <c r="H10" s="21">
        <v>20000</v>
      </c>
      <c r="I10" s="21">
        <f t="shared" si="0"/>
        <v>1000</v>
      </c>
      <c r="J10" s="21">
        <f t="shared" si="1"/>
        <v>500</v>
      </c>
      <c r="K10" s="19" t="s">
        <v>464</v>
      </c>
      <c r="L10" s="21">
        <f t="shared" si="2"/>
        <v>500</v>
      </c>
      <c r="M10" s="72" t="s">
        <v>467</v>
      </c>
      <c r="N10" s="19"/>
      <c r="O10" s="81"/>
    </row>
    <row r="11" spans="1:15" x14ac:dyDescent="0.25">
      <c r="A11" s="12">
        <v>4</v>
      </c>
      <c r="B11" s="15" t="s">
        <v>16</v>
      </c>
      <c r="C11" s="15" t="s">
        <v>400</v>
      </c>
      <c r="D11" s="15">
        <v>307320</v>
      </c>
      <c r="E11" s="15" t="s">
        <v>17</v>
      </c>
      <c r="F11" s="15" t="s">
        <v>36</v>
      </c>
      <c r="G11" s="13">
        <v>46044</v>
      </c>
      <c r="H11" s="14">
        <v>48000</v>
      </c>
      <c r="I11" s="14">
        <f t="shared" si="0"/>
        <v>2400</v>
      </c>
      <c r="J11" s="14">
        <f t="shared" si="1"/>
        <v>1200</v>
      </c>
      <c r="K11" s="12" t="s">
        <v>464</v>
      </c>
      <c r="L11" s="14">
        <f t="shared" si="2"/>
        <v>1200</v>
      </c>
      <c r="M11" s="12" t="s">
        <v>464</v>
      </c>
      <c r="N11" s="42"/>
      <c r="O11" s="12"/>
    </row>
    <row r="12" spans="1:15" x14ac:dyDescent="0.25">
      <c r="A12" s="12">
        <v>5</v>
      </c>
      <c r="B12" s="12" t="s">
        <v>22</v>
      </c>
      <c r="C12" s="12" t="s">
        <v>348</v>
      </c>
      <c r="D12" s="12">
        <v>297746</v>
      </c>
      <c r="E12" s="12" t="s">
        <v>24</v>
      </c>
      <c r="F12" s="12" t="s">
        <v>307</v>
      </c>
      <c r="G12" s="13">
        <v>46049</v>
      </c>
      <c r="H12" s="14">
        <v>28000</v>
      </c>
      <c r="I12" s="14">
        <f t="shared" si="0"/>
        <v>1400</v>
      </c>
      <c r="J12" s="14">
        <f t="shared" si="1"/>
        <v>700</v>
      </c>
      <c r="K12" s="12" t="s">
        <v>465</v>
      </c>
      <c r="L12" s="14">
        <f t="shared" si="2"/>
        <v>700</v>
      </c>
      <c r="M12" s="12" t="s">
        <v>466</v>
      </c>
      <c r="N12" s="26"/>
      <c r="O12" s="26"/>
    </row>
    <row r="13" spans="1:15" ht="15.75" thickBot="1" x14ac:dyDescent="0.3">
      <c r="A13" s="12">
        <v>6</v>
      </c>
      <c r="B13" s="12" t="s">
        <v>22</v>
      </c>
      <c r="C13" s="12" t="s">
        <v>414</v>
      </c>
      <c r="D13" s="12">
        <v>309727</v>
      </c>
      <c r="E13" s="12" t="s">
        <v>24</v>
      </c>
      <c r="F13" s="12" t="s">
        <v>185</v>
      </c>
      <c r="G13" s="13">
        <v>46049</v>
      </c>
      <c r="H13" s="14">
        <v>27000</v>
      </c>
      <c r="I13" s="21">
        <f t="shared" si="0"/>
        <v>1350</v>
      </c>
      <c r="J13" s="21">
        <f t="shared" si="1"/>
        <v>675</v>
      </c>
      <c r="K13" s="19" t="s">
        <v>465</v>
      </c>
      <c r="L13" s="21">
        <f t="shared" si="2"/>
        <v>675</v>
      </c>
      <c r="M13" s="19" t="s">
        <v>465</v>
      </c>
      <c r="N13" s="19"/>
      <c r="O13" s="32"/>
    </row>
    <row r="14" spans="1:15" ht="16.5" thickBot="1" x14ac:dyDescent="0.3">
      <c r="A14" s="150" t="s">
        <v>31</v>
      </c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2"/>
    </row>
    <row r="15" spans="1:15" x14ac:dyDescent="0.25">
      <c r="A15" s="12">
        <v>1</v>
      </c>
      <c r="B15" s="15" t="s">
        <v>16</v>
      </c>
      <c r="C15" s="15" t="s">
        <v>414</v>
      </c>
      <c r="D15" s="15">
        <v>307279</v>
      </c>
      <c r="E15" s="15" t="s">
        <v>17</v>
      </c>
      <c r="F15" s="15" t="s">
        <v>416</v>
      </c>
      <c r="G15" s="20">
        <v>46056</v>
      </c>
      <c r="H15" s="21">
        <v>18000</v>
      </c>
      <c r="I15" s="14">
        <v>1000</v>
      </c>
      <c r="J15" s="14">
        <f>+I15/2</f>
        <v>500</v>
      </c>
      <c r="K15" s="12" t="s">
        <v>464</v>
      </c>
      <c r="L15" s="14">
        <f>+I15/2</f>
        <v>500</v>
      </c>
      <c r="M15" s="12" t="s">
        <v>464</v>
      </c>
      <c r="N15" s="12"/>
      <c r="O15" s="22"/>
    </row>
    <row r="16" spans="1:15" x14ac:dyDescent="0.25">
      <c r="A16" s="19">
        <v>2</v>
      </c>
      <c r="B16" s="12" t="s">
        <v>265</v>
      </c>
      <c r="C16" s="12" t="s">
        <v>444</v>
      </c>
      <c r="D16" s="12">
        <v>313918</v>
      </c>
      <c r="E16" s="19" t="s">
        <v>24</v>
      </c>
      <c r="F16" s="19" t="s">
        <v>442</v>
      </c>
      <c r="G16" s="13">
        <v>46064</v>
      </c>
      <c r="H16" s="14">
        <v>32000</v>
      </c>
      <c r="I16" s="21">
        <f>+H16*5%</f>
        <v>1600</v>
      </c>
      <c r="J16" s="21">
        <f>+I16/2</f>
        <v>800</v>
      </c>
      <c r="K16" s="21" t="s">
        <v>483</v>
      </c>
      <c r="L16" s="21">
        <f>+I16/2</f>
        <v>800</v>
      </c>
      <c r="M16" s="19" t="s">
        <v>484</v>
      </c>
      <c r="N16" s="72"/>
      <c r="O16" s="19"/>
    </row>
    <row r="17" spans="1:15" x14ac:dyDescent="0.25">
      <c r="A17" s="12">
        <v>3</v>
      </c>
      <c r="B17" s="15" t="s">
        <v>16</v>
      </c>
      <c r="C17" s="15" t="s">
        <v>362</v>
      </c>
      <c r="D17" s="15">
        <v>300288</v>
      </c>
      <c r="E17" s="15" t="s">
        <v>17</v>
      </c>
      <c r="F17" s="15" t="s">
        <v>363</v>
      </c>
      <c r="G17" s="13">
        <v>46066</v>
      </c>
      <c r="H17" s="14">
        <v>25000</v>
      </c>
      <c r="I17" s="14">
        <f>+H17*5%</f>
        <v>1250</v>
      </c>
      <c r="J17" s="14">
        <f>+I17/2</f>
        <v>625</v>
      </c>
      <c r="K17" s="14" t="s">
        <v>464</v>
      </c>
      <c r="L17" s="14">
        <f>+I17/2</f>
        <v>625</v>
      </c>
      <c r="M17" s="12" t="s">
        <v>464</v>
      </c>
      <c r="N17" s="71"/>
      <c r="O17" s="23"/>
    </row>
    <row r="18" spans="1:15" x14ac:dyDescent="0.25">
      <c r="A18" s="12">
        <v>4</v>
      </c>
      <c r="B18" s="12" t="s">
        <v>16</v>
      </c>
      <c r="C18" s="12" t="s">
        <v>443</v>
      </c>
      <c r="D18" s="12">
        <v>314165</v>
      </c>
      <c r="E18" s="12" t="s">
        <v>23</v>
      </c>
      <c r="F18" s="12" t="s">
        <v>445</v>
      </c>
      <c r="G18" s="13">
        <v>46078</v>
      </c>
      <c r="H18" s="14">
        <v>45000</v>
      </c>
      <c r="I18" s="14">
        <f>+H18*5%</f>
        <v>2250</v>
      </c>
      <c r="J18" s="14">
        <f>+I18/2</f>
        <v>1125</v>
      </c>
      <c r="K18" s="12" t="s">
        <v>464</v>
      </c>
      <c r="L18" s="14">
        <f>+I18/2</f>
        <v>1125</v>
      </c>
      <c r="M18" s="12" t="s">
        <v>525</v>
      </c>
      <c r="N18" s="12"/>
      <c r="O18" s="12"/>
    </row>
    <row r="19" spans="1:15" s="58" customFormat="1" x14ac:dyDescent="0.2">
      <c r="A19" s="12">
        <v>5</v>
      </c>
      <c r="B19" s="12" t="s">
        <v>26</v>
      </c>
      <c r="C19" s="15" t="s">
        <v>409</v>
      </c>
      <c r="D19" s="12">
        <v>309465</v>
      </c>
      <c r="E19" s="12" t="s">
        <v>32</v>
      </c>
      <c r="F19" s="12" t="s">
        <v>432</v>
      </c>
      <c r="G19" s="20">
        <v>46078</v>
      </c>
      <c r="H19" s="21">
        <v>650</v>
      </c>
      <c r="I19" s="79">
        <f>+H19*2</f>
        <v>1300</v>
      </c>
      <c r="J19" s="14">
        <f t="shared" ref="J19:J24" si="3">+I19/2</f>
        <v>650</v>
      </c>
      <c r="K19" s="78" t="s">
        <v>483</v>
      </c>
      <c r="L19" s="14">
        <f t="shared" ref="L19:L24" si="4">+I19/2</f>
        <v>650</v>
      </c>
      <c r="M19" s="78" t="s">
        <v>50</v>
      </c>
      <c r="N19" s="78"/>
      <c r="O19" s="78"/>
    </row>
    <row r="20" spans="1:15" s="58" customFormat="1" x14ac:dyDescent="0.2">
      <c r="A20" s="12">
        <v>6</v>
      </c>
      <c r="B20" s="12" t="s">
        <v>265</v>
      </c>
      <c r="C20" s="12" t="s">
        <v>506</v>
      </c>
      <c r="D20" s="12">
        <v>317324</v>
      </c>
      <c r="E20" s="12" t="s">
        <v>150</v>
      </c>
      <c r="F20" s="12" t="s">
        <v>207</v>
      </c>
      <c r="G20" s="13">
        <v>46078</v>
      </c>
      <c r="H20" s="14">
        <v>100</v>
      </c>
      <c r="I20" s="74">
        <f>+H20*2</f>
        <v>200</v>
      </c>
      <c r="J20" s="14">
        <f t="shared" si="3"/>
        <v>100</v>
      </c>
      <c r="K20" s="73" t="s">
        <v>483</v>
      </c>
      <c r="L20" s="14">
        <f t="shared" si="4"/>
        <v>100</v>
      </c>
      <c r="M20" s="73" t="s">
        <v>483</v>
      </c>
      <c r="N20" s="73"/>
      <c r="O20" s="73"/>
    </row>
    <row r="21" spans="1:15" s="58" customFormat="1" x14ac:dyDescent="0.2">
      <c r="A21" s="12">
        <v>7</v>
      </c>
      <c r="B21" s="12" t="s">
        <v>16</v>
      </c>
      <c r="C21" s="12" t="s">
        <v>448</v>
      </c>
      <c r="D21" s="12">
        <v>314612</v>
      </c>
      <c r="E21" s="12" t="s">
        <v>41</v>
      </c>
      <c r="F21" s="12" t="s">
        <v>449</v>
      </c>
      <c r="G21" s="13">
        <v>46078</v>
      </c>
      <c r="H21" s="14">
        <v>23000</v>
      </c>
      <c r="I21" s="74">
        <f>+H21*5%</f>
        <v>1150</v>
      </c>
      <c r="J21" s="14">
        <f t="shared" si="3"/>
        <v>575</v>
      </c>
      <c r="K21" s="73" t="s">
        <v>464</v>
      </c>
      <c r="L21" s="14">
        <f t="shared" si="4"/>
        <v>575</v>
      </c>
      <c r="M21" s="73" t="s">
        <v>526</v>
      </c>
      <c r="N21" s="73"/>
      <c r="O21" s="73"/>
    </row>
    <row r="22" spans="1:15" s="58" customFormat="1" x14ac:dyDescent="0.2">
      <c r="A22" s="12">
        <v>8</v>
      </c>
      <c r="B22" s="12" t="s">
        <v>22</v>
      </c>
      <c r="C22" s="12" t="s">
        <v>509</v>
      </c>
      <c r="D22" s="12">
        <v>318555</v>
      </c>
      <c r="E22" s="12" t="s">
        <v>41</v>
      </c>
      <c r="F22" s="12" t="s">
        <v>56</v>
      </c>
      <c r="G22" s="20">
        <v>46081</v>
      </c>
      <c r="H22" s="21">
        <v>175</v>
      </c>
      <c r="I22" s="74">
        <f>+H22*2</f>
        <v>350</v>
      </c>
      <c r="J22" s="14">
        <f t="shared" si="3"/>
        <v>175</v>
      </c>
      <c r="K22" s="73" t="s">
        <v>465</v>
      </c>
      <c r="L22" s="14">
        <f t="shared" si="4"/>
        <v>175</v>
      </c>
      <c r="M22" s="73" t="s">
        <v>465</v>
      </c>
      <c r="N22" s="76"/>
      <c r="O22" s="73"/>
    </row>
    <row r="23" spans="1:15" s="58" customFormat="1" x14ac:dyDescent="0.2">
      <c r="A23" s="12">
        <v>9</v>
      </c>
      <c r="B23" s="12" t="s">
        <v>22</v>
      </c>
      <c r="C23" s="12" t="s">
        <v>510</v>
      </c>
      <c r="D23" s="12">
        <v>318557</v>
      </c>
      <c r="E23" s="12" t="s">
        <v>41</v>
      </c>
      <c r="F23" s="12" t="s">
        <v>56</v>
      </c>
      <c r="G23" s="20">
        <v>46081</v>
      </c>
      <c r="H23" s="21">
        <v>175</v>
      </c>
      <c r="I23" s="74">
        <f>+H23*2</f>
        <v>350</v>
      </c>
      <c r="J23" s="14">
        <f t="shared" si="3"/>
        <v>175</v>
      </c>
      <c r="K23" s="73" t="s">
        <v>465</v>
      </c>
      <c r="L23" s="14">
        <f t="shared" si="4"/>
        <v>175</v>
      </c>
      <c r="M23" s="73" t="s">
        <v>465</v>
      </c>
      <c r="N23" s="23"/>
      <c r="O23" s="23"/>
    </row>
    <row r="24" spans="1:15" s="58" customFormat="1" x14ac:dyDescent="0.2">
      <c r="A24" s="12">
        <v>10</v>
      </c>
      <c r="B24" s="15" t="s">
        <v>458</v>
      </c>
      <c r="C24" s="15" t="s">
        <v>462</v>
      </c>
      <c r="D24" s="15">
        <v>315586</v>
      </c>
      <c r="E24" s="15" t="s">
        <v>23</v>
      </c>
      <c r="F24" s="15" t="s">
        <v>185</v>
      </c>
      <c r="G24" s="13">
        <v>46081</v>
      </c>
      <c r="H24" s="14">
        <v>62500</v>
      </c>
      <c r="I24" s="74">
        <f>+H24*5%</f>
        <v>3125</v>
      </c>
      <c r="J24" s="14">
        <f t="shared" si="3"/>
        <v>1562.5</v>
      </c>
      <c r="K24" s="73" t="s">
        <v>524</v>
      </c>
      <c r="L24" s="14">
        <f t="shared" si="4"/>
        <v>1562.5</v>
      </c>
      <c r="M24" s="73" t="s">
        <v>439</v>
      </c>
      <c r="N24" s="73"/>
      <c r="O24" s="73"/>
    </row>
    <row r="25" spans="1:15" s="58" customFormat="1" ht="15.75" x14ac:dyDescent="0.2">
      <c r="A25" s="147" t="s">
        <v>33</v>
      </c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9"/>
    </row>
    <row r="26" spans="1:15" s="58" customFormat="1" x14ac:dyDescent="0.2">
      <c r="A26" s="12">
        <v>1</v>
      </c>
      <c r="B26" s="12" t="s">
        <v>265</v>
      </c>
      <c r="C26" s="15" t="s">
        <v>121</v>
      </c>
      <c r="D26" s="12">
        <v>273392</v>
      </c>
      <c r="E26" s="12" t="s">
        <v>43</v>
      </c>
      <c r="F26" s="12" t="s">
        <v>518</v>
      </c>
      <c r="G26" s="13">
        <v>46087</v>
      </c>
      <c r="H26" s="14">
        <v>50000</v>
      </c>
      <c r="I26" s="21">
        <f t="shared" ref="I26:I32" si="5">+H26*5%</f>
        <v>2500</v>
      </c>
      <c r="J26" s="21">
        <f>+I26/2</f>
        <v>1250</v>
      </c>
      <c r="K26" s="19" t="s">
        <v>483</v>
      </c>
      <c r="L26" s="21">
        <f>+I26/2</f>
        <v>1250</v>
      </c>
      <c r="M26" s="19" t="s">
        <v>483</v>
      </c>
      <c r="N26" s="19"/>
      <c r="O26" s="19"/>
    </row>
    <row r="27" spans="1:15" s="58" customFormat="1" x14ac:dyDescent="0.2">
      <c r="A27" s="12">
        <v>2</v>
      </c>
      <c r="B27" s="15" t="s">
        <v>22</v>
      </c>
      <c r="C27" s="15" t="s">
        <v>365</v>
      </c>
      <c r="D27" s="15">
        <v>310341</v>
      </c>
      <c r="E27" s="15" t="s">
        <v>17</v>
      </c>
      <c r="F27" s="15" t="s">
        <v>519</v>
      </c>
      <c r="G27" s="16">
        <v>46097</v>
      </c>
      <c r="H27" s="14">
        <v>22500</v>
      </c>
      <c r="I27" s="84">
        <f t="shared" si="5"/>
        <v>1125</v>
      </c>
      <c r="J27" s="21">
        <f t="shared" ref="J27:J32" si="6">+I27/2</f>
        <v>562.5</v>
      </c>
      <c r="K27" s="12" t="s">
        <v>465</v>
      </c>
      <c r="L27" s="21">
        <f t="shared" ref="L27:L32" si="7">+I27/2</f>
        <v>562.5</v>
      </c>
      <c r="M27" s="12" t="s">
        <v>465</v>
      </c>
      <c r="N27" s="12"/>
      <c r="O27" s="12"/>
    </row>
    <row r="28" spans="1:15" s="58" customFormat="1" x14ac:dyDescent="0.2">
      <c r="A28" s="12">
        <v>3</v>
      </c>
      <c r="B28" s="15" t="s">
        <v>22</v>
      </c>
      <c r="C28" s="15" t="s">
        <v>169</v>
      </c>
      <c r="D28" s="15">
        <v>276901</v>
      </c>
      <c r="E28" s="15" t="s">
        <v>23</v>
      </c>
      <c r="F28" s="15" t="s">
        <v>170</v>
      </c>
      <c r="G28" s="20">
        <v>46097</v>
      </c>
      <c r="H28" s="21">
        <v>50000</v>
      </c>
      <c r="I28" s="14">
        <f t="shared" si="5"/>
        <v>2500</v>
      </c>
      <c r="J28" s="21">
        <f t="shared" si="6"/>
        <v>1250</v>
      </c>
      <c r="K28" s="12" t="s">
        <v>465</v>
      </c>
      <c r="L28" s="21">
        <f t="shared" si="7"/>
        <v>1250</v>
      </c>
      <c r="M28" s="22" t="s">
        <v>522</v>
      </c>
      <c r="N28" s="12"/>
      <c r="O28" s="12"/>
    </row>
    <row r="29" spans="1:15" x14ac:dyDescent="0.25">
      <c r="A29" s="12">
        <v>4</v>
      </c>
      <c r="B29" s="12" t="s">
        <v>265</v>
      </c>
      <c r="C29" s="12" t="s">
        <v>393</v>
      </c>
      <c r="D29" s="12">
        <v>306118</v>
      </c>
      <c r="E29" s="12" t="s">
        <v>23</v>
      </c>
      <c r="F29" s="12" t="s">
        <v>340</v>
      </c>
      <c r="G29" s="13">
        <v>46098</v>
      </c>
      <c r="H29" s="14">
        <v>45000</v>
      </c>
      <c r="I29" s="14">
        <f t="shared" si="5"/>
        <v>2250</v>
      </c>
      <c r="J29" s="21">
        <f t="shared" si="6"/>
        <v>1125</v>
      </c>
      <c r="K29" s="12" t="s">
        <v>483</v>
      </c>
      <c r="L29" s="21">
        <f t="shared" si="7"/>
        <v>1125</v>
      </c>
      <c r="M29" s="12" t="s">
        <v>483</v>
      </c>
      <c r="N29" s="27"/>
      <c r="O29" s="27"/>
    </row>
    <row r="30" spans="1:15" x14ac:dyDescent="0.25">
      <c r="A30" s="12">
        <v>5</v>
      </c>
      <c r="B30" s="12" t="s">
        <v>265</v>
      </c>
      <c r="C30" s="12" t="s">
        <v>360</v>
      </c>
      <c r="D30" s="12">
        <v>301786</v>
      </c>
      <c r="E30" s="12" t="s">
        <v>32</v>
      </c>
      <c r="F30" s="12" t="s">
        <v>378</v>
      </c>
      <c r="G30" s="13">
        <v>45734</v>
      </c>
      <c r="H30" s="14">
        <v>21000</v>
      </c>
      <c r="I30" s="14">
        <f t="shared" si="5"/>
        <v>1050</v>
      </c>
      <c r="J30" s="21">
        <f t="shared" si="6"/>
        <v>525</v>
      </c>
      <c r="K30" s="12" t="s">
        <v>483</v>
      </c>
      <c r="L30" s="21">
        <f t="shared" si="7"/>
        <v>525</v>
      </c>
      <c r="M30" s="12" t="s">
        <v>483</v>
      </c>
      <c r="N30" s="27"/>
      <c r="O30" s="27"/>
    </row>
    <row r="31" spans="1:15" s="38" customFormat="1" x14ac:dyDescent="0.2">
      <c r="A31" s="12">
        <v>6</v>
      </c>
      <c r="B31" s="12" t="s">
        <v>469</v>
      </c>
      <c r="C31" s="12" t="s">
        <v>515</v>
      </c>
      <c r="D31" s="12">
        <v>319669</v>
      </c>
      <c r="E31" s="12" t="s">
        <v>17</v>
      </c>
      <c r="F31" s="12" t="s">
        <v>100</v>
      </c>
      <c r="G31" s="13">
        <v>45735</v>
      </c>
      <c r="H31" s="14">
        <v>19000</v>
      </c>
      <c r="I31" s="14">
        <f t="shared" si="5"/>
        <v>950</v>
      </c>
      <c r="J31" s="21">
        <f t="shared" si="6"/>
        <v>475</v>
      </c>
      <c r="K31" s="12" t="s">
        <v>521</v>
      </c>
      <c r="L31" s="21">
        <f>+I31/2</f>
        <v>475</v>
      </c>
      <c r="M31" s="12" t="s">
        <v>521</v>
      </c>
      <c r="N31" s="12"/>
      <c r="O31" s="12"/>
    </row>
    <row r="32" spans="1:15" s="38" customFormat="1" x14ac:dyDescent="0.2">
      <c r="A32" s="12">
        <v>7</v>
      </c>
      <c r="B32" s="15" t="s">
        <v>16</v>
      </c>
      <c r="C32" s="15" t="s">
        <v>148</v>
      </c>
      <c r="D32" s="15" t="s">
        <v>148</v>
      </c>
      <c r="E32" s="15" t="s">
        <v>37</v>
      </c>
      <c r="F32" s="15" t="s">
        <v>520</v>
      </c>
      <c r="G32" s="13">
        <v>45736</v>
      </c>
      <c r="H32" s="14">
        <v>280000</v>
      </c>
      <c r="I32" s="14">
        <f t="shared" si="5"/>
        <v>14000</v>
      </c>
      <c r="J32" s="21">
        <f t="shared" si="6"/>
        <v>7000</v>
      </c>
      <c r="K32" s="12" t="s">
        <v>523</v>
      </c>
      <c r="L32" s="21">
        <f t="shared" si="7"/>
        <v>7000</v>
      </c>
      <c r="M32" s="12" t="s">
        <v>464</v>
      </c>
      <c r="N32" s="71"/>
      <c r="O32" s="12"/>
    </row>
    <row r="33" spans="1:15" s="38" customFormat="1" ht="15.75" x14ac:dyDescent="0.2">
      <c r="A33" s="147" t="s">
        <v>35</v>
      </c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9"/>
    </row>
    <row r="34" spans="1:15" s="38" customFormat="1" x14ac:dyDescent="0.2">
      <c r="A34" s="73">
        <v>1</v>
      </c>
      <c r="B34" s="12" t="s">
        <v>458</v>
      </c>
      <c r="C34" s="12" t="s">
        <v>494</v>
      </c>
      <c r="D34" s="12">
        <v>320157</v>
      </c>
      <c r="E34" s="12" t="s">
        <v>32</v>
      </c>
      <c r="F34" s="12" t="s">
        <v>119</v>
      </c>
      <c r="G34" s="20">
        <v>46127</v>
      </c>
      <c r="H34" s="21">
        <v>33000</v>
      </c>
      <c r="I34" s="14">
        <v>1480</v>
      </c>
      <c r="J34" s="14">
        <f>+I34/2</f>
        <v>740</v>
      </c>
      <c r="K34" s="12" t="s">
        <v>524</v>
      </c>
      <c r="L34" s="14">
        <f>+J34</f>
        <v>740</v>
      </c>
      <c r="M34" s="12"/>
      <c r="N34" s="12"/>
      <c r="O34" s="12"/>
    </row>
    <row r="35" spans="1:15" s="38" customFormat="1" x14ac:dyDescent="0.2">
      <c r="A35" s="12">
        <v>2</v>
      </c>
      <c r="B35" s="15" t="s">
        <v>469</v>
      </c>
      <c r="C35" s="15" t="s">
        <v>499</v>
      </c>
      <c r="D35" s="15">
        <v>319345</v>
      </c>
      <c r="E35" s="15" t="s">
        <v>17</v>
      </c>
      <c r="F35" s="15" t="s">
        <v>568</v>
      </c>
      <c r="G35" s="20">
        <v>46133</v>
      </c>
      <c r="H35" s="21">
        <v>17000</v>
      </c>
      <c r="I35" s="14">
        <v>1000</v>
      </c>
      <c r="J35" s="14">
        <f>+I35/2</f>
        <v>500</v>
      </c>
      <c r="K35" s="12" t="s">
        <v>521</v>
      </c>
      <c r="L35" s="14">
        <f>+I35/2</f>
        <v>500</v>
      </c>
      <c r="M35" s="12" t="s">
        <v>521</v>
      </c>
      <c r="N35" s="18"/>
      <c r="O35" s="12"/>
    </row>
    <row r="36" spans="1:15" s="38" customFormat="1" x14ac:dyDescent="0.2">
      <c r="A36" s="12">
        <v>3</v>
      </c>
      <c r="B36" s="15" t="s">
        <v>265</v>
      </c>
      <c r="C36" s="15" t="s">
        <v>545</v>
      </c>
      <c r="D36" s="15">
        <v>322637</v>
      </c>
      <c r="E36" s="15" t="s">
        <v>17</v>
      </c>
      <c r="F36" s="15" t="s">
        <v>546</v>
      </c>
      <c r="G36" s="13">
        <v>46134</v>
      </c>
      <c r="H36" s="14">
        <v>24600</v>
      </c>
      <c r="I36" s="14">
        <v>1200</v>
      </c>
      <c r="J36" s="14">
        <f>+I36/2</f>
        <v>600</v>
      </c>
      <c r="K36" s="12" t="s">
        <v>483</v>
      </c>
      <c r="L36" s="14">
        <f>+I36/2</f>
        <v>600</v>
      </c>
      <c r="M36" s="12" t="s">
        <v>483</v>
      </c>
      <c r="N36" s="12"/>
      <c r="O36" s="12"/>
    </row>
    <row r="37" spans="1:15" s="38" customFormat="1" x14ac:dyDescent="0.2">
      <c r="A37" s="12">
        <v>4</v>
      </c>
      <c r="B37" s="15" t="s">
        <v>16</v>
      </c>
      <c r="C37" s="15" t="s">
        <v>542</v>
      </c>
      <c r="D37" s="15">
        <v>322195</v>
      </c>
      <c r="E37" s="15" t="s">
        <v>17</v>
      </c>
      <c r="F37" s="15" t="s">
        <v>543</v>
      </c>
      <c r="G37" s="13">
        <v>46136</v>
      </c>
      <c r="H37" s="14">
        <v>29000</v>
      </c>
      <c r="I37" s="14">
        <f>+H37*5%</f>
        <v>1450</v>
      </c>
      <c r="J37" s="14">
        <f>+I37/2</f>
        <v>725</v>
      </c>
      <c r="K37" s="12" t="s">
        <v>464</v>
      </c>
      <c r="L37" s="14">
        <f>+I37/2</f>
        <v>725</v>
      </c>
      <c r="M37" s="12" t="s">
        <v>466</v>
      </c>
      <c r="N37" s="12"/>
      <c r="O37" s="12"/>
    </row>
    <row r="38" spans="1:15" s="38" customFormat="1" x14ac:dyDescent="0.2">
      <c r="A38" s="12">
        <v>5</v>
      </c>
      <c r="B38" s="12" t="s">
        <v>183</v>
      </c>
      <c r="C38" s="12" t="s">
        <v>563</v>
      </c>
      <c r="D38" s="12">
        <v>324366</v>
      </c>
      <c r="E38" s="12" t="s">
        <v>17</v>
      </c>
      <c r="F38" s="12" t="s">
        <v>575</v>
      </c>
      <c r="G38" s="13">
        <v>46142</v>
      </c>
      <c r="H38" s="14">
        <v>500</v>
      </c>
      <c r="I38" s="14">
        <v>500</v>
      </c>
      <c r="J38" s="14">
        <f>+I38/2</f>
        <v>250</v>
      </c>
      <c r="K38" s="12" t="s">
        <v>439</v>
      </c>
      <c r="L38" s="14">
        <f>+I38/2</f>
        <v>250</v>
      </c>
      <c r="M38" s="12" t="s">
        <v>439</v>
      </c>
      <c r="N38" s="12"/>
      <c r="O38" s="12"/>
    </row>
    <row r="39" spans="1:15" s="38" customFormat="1" ht="15.75" x14ac:dyDescent="0.2">
      <c r="A39" s="147" t="s">
        <v>39</v>
      </c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</row>
    <row r="40" spans="1:15" s="38" customFormat="1" x14ac:dyDescent="0.2">
      <c r="A40" s="12">
        <v>1</v>
      </c>
      <c r="B40" s="12" t="s">
        <v>16</v>
      </c>
      <c r="C40" s="12" t="s">
        <v>559</v>
      </c>
      <c r="D40" s="12">
        <v>323427</v>
      </c>
      <c r="E40" s="12" t="s">
        <v>17</v>
      </c>
      <c r="F40" s="12" t="s">
        <v>38</v>
      </c>
      <c r="G40" s="13">
        <v>46147</v>
      </c>
      <c r="H40" s="74">
        <v>26000</v>
      </c>
      <c r="I40" s="14">
        <f>+H40*5%</f>
        <v>1300</v>
      </c>
      <c r="J40" s="14">
        <f>+I40/2</f>
        <v>650</v>
      </c>
      <c r="K40" s="12" t="s">
        <v>464</v>
      </c>
      <c r="L40" s="66">
        <f>+I40/2</f>
        <v>650</v>
      </c>
      <c r="M40" s="12" t="s">
        <v>464</v>
      </c>
      <c r="N40" s="26"/>
      <c r="O40" s="12"/>
    </row>
    <row r="41" spans="1:15" s="38" customFormat="1" x14ac:dyDescent="0.2">
      <c r="A41" s="12">
        <v>2</v>
      </c>
      <c r="B41" s="12" t="s">
        <v>16</v>
      </c>
      <c r="C41" s="12" t="s">
        <v>516</v>
      </c>
      <c r="D41" s="15">
        <v>320446</v>
      </c>
      <c r="E41" s="15" t="s">
        <v>17</v>
      </c>
      <c r="F41" s="15" t="s">
        <v>517</v>
      </c>
      <c r="G41" s="13">
        <v>46147</v>
      </c>
      <c r="H41" s="74">
        <v>25000</v>
      </c>
      <c r="I41" s="14">
        <f>+H41*5%</f>
        <v>1250</v>
      </c>
      <c r="J41" s="14">
        <f>+I41/2</f>
        <v>625</v>
      </c>
      <c r="K41" s="12" t="s">
        <v>464</v>
      </c>
      <c r="L41" s="66">
        <f>+I41/2</f>
        <v>625</v>
      </c>
      <c r="M41" s="12" t="s">
        <v>599</v>
      </c>
      <c r="N41" s="12"/>
      <c r="O41" s="12"/>
    </row>
    <row r="42" spans="1:15" s="38" customFormat="1" x14ac:dyDescent="0.2">
      <c r="A42" s="19">
        <v>3</v>
      </c>
      <c r="B42" s="15" t="s">
        <v>265</v>
      </c>
      <c r="C42" s="15" t="s">
        <v>148</v>
      </c>
      <c r="D42" s="15" t="s">
        <v>148</v>
      </c>
      <c r="E42" s="15" t="s">
        <v>17</v>
      </c>
      <c r="F42" s="15" t="s">
        <v>597</v>
      </c>
      <c r="G42" s="20">
        <v>46157</v>
      </c>
      <c r="H42" s="79">
        <v>300</v>
      </c>
      <c r="I42" s="21">
        <v>600</v>
      </c>
      <c r="J42" s="21">
        <f>+I42/2</f>
        <v>300</v>
      </c>
      <c r="K42" s="19" t="s">
        <v>598</v>
      </c>
      <c r="L42" s="21">
        <f>+I42/2</f>
        <v>300</v>
      </c>
      <c r="M42" s="19" t="s">
        <v>483</v>
      </c>
      <c r="N42" s="19"/>
      <c r="O42" s="19"/>
    </row>
    <row r="43" spans="1:15" ht="15.75" x14ac:dyDescent="0.25">
      <c r="A43" s="12">
        <v>4</v>
      </c>
      <c r="B43" s="15" t="s">
        <v>587</v>
      </c>
      <c r="C43" s="15" t="s">
        <v>590</v>
      </c>
      <c r="D43" s="15">
        <v>327087</v>
      </c>
      <c r="E43" s="15" t="s">
        <v>37</v>
      </c>
      <c r="F43" s="15" t="s">
        <v>591</v>
      </c>
      <c r="G43" s="20">
        <v>46162</v>
      </c>
      <c r="H43" s="79">
        <v>1500</v>
      </c>
      <c r="I43" s="21">
        <f>+H43/2</f>
        <v>750</v>
      </c>
      <c r="J43" s="21">
        <f>+I43/2</f>
        <v>375</v>
      </c>
      <c r="K43" s="19" t="s">
        <v>439</v>
      </c>
      <c r="L43" s="21">
        <f>+I43/2</f>
        <v>375</v>
      </c>
      <c r="M43" s="19" t="s">
        <v>439</v>
      </c>
      <c r="N43" s="19"/>
      <c r="O43" s="19"/>
    </row>
    <row r="44" spans="1:15" ht="15.75" x14ac:dyDescent="0.25">
      <c r="A44" s="147" t="s">
        <v>42</v>
      </c>
      <c r="B44" s="148"/>
      <c r="C44" s="148"/>
      <c r="D44" s="148"/>
      <c r="E44" s="148"/>
      <c r="F44" s="148"/>
      <c r="G44" s="148"/>
      <c r="H44" s="148"/>
      <c r="I44" s="148"/>
      <c r="J44" s="148"/>
      <c r="K44" s="148"/>
      <c r="L44" s="148"/>
      <c r="M44" s="148"/>
      <c r="N44" s="148"/>
      <c r="O44" s="149"/>
    </row>
    <row r="45" spans="1:15" ht="15.75" x14ac:dyDescent="0.25">
      <c r="A45" s="12">
        <v>1</v>
      </c>
      <c r="B45" s="15" t="s">
        <v>469</v>
      </c>
      <c r="C45" s="15" t="s">
        <v>600</v>
      </c>
      <c r="D45" s="15">
        <v>328355</v>
      </c>
      <c r="E45" s="15" t="s">
        <v>17</v>
      </c>
      <c r="F45" s="15" t="s">
        <v>548</v>
      </c>
      <c r="G45" s="13">
        <v>46179</v>
      </c>
      <c r="H45" s="74">
        <v>33800</v>
      </c>
      <c r="I45" s="14">
        <f>+H45*5%</f>
        <v>1690</v>
      </c>
      <c r="J45" s="14">
        <f>+I45/2</f>
        <v>845</v>
      </c>
      <c r="K45" s="12"/>
      <c r="L45" s="14">
        <f>+I45/2</f>
        <v>845</v>
      </c>
      <c r="M45" s="12"/>
      <c r="N45" s="12"/>
      <c r="O45" s="23" t="s">
        <v>641</v>
      </c>
    </row>
    <row r="46" spans="1:15" ht="15.75" x14ac:dyDescent="0.25">
      <c r="A46" s="12">
        <v>2</v>
      </c>
      <c r="B46" s="15" t="s">
        <v>22</v>
      </c>
      <c r="C46" s="15" t="s">
        <v>573</v>
      </c>
      <c r="D46" s="15">
        <v>324860</v>
      </c>
      <c r="E46" s="15" t="s">
        <v>17</v>
      </c>
      <c r="F46" s="15" t="s">
        <v>567</v>
      </c>
      <c r="G46" s="13">
        <v>46184</v>
      </c>
      <c r="H46" s="74">
        <v>17500</v>
      </c>
      <c r="I46" s="14">
        <v>1000</v>
      </c>
      <c r="J46" s="14">
        <f>+I46/2</f>
        <v>500</v>
      </c>
      <c r="K46" s="12" t="s">
        <v>465</v>
      </c>
      <c r="L46" s="14">
        <f>+I46/2</f>
        <v>500</v>
      </c>
      <c r="M46" s="12" t="s">
        <v>465</v>
      </c>
      <c r="N46" s="44"/>
      <c r="O46" s="12"/>
    </row>
    <row r="47" spans="1:15" ht="15.75" x14ac:dyDescent="0.25">
      <c r="A47" s="12">
        <v>3</v>
      </c>
      <c r="B47" s="12" t="s">
        <v>22</v>
      </c>
      <c r="C47" s="12" t="s">
        <v>148</v>
      </c>
      <c r="D47" s="12" t="s">
        <v>148</v>
      </c>
      <c r="E47" s="12" t="s">
        <v>17</v>
      </c>
      <c r="F47" s="12" t="s">
        <v>639</v>
      </c>
      <c r="G47" s="13">
        <v>46188</v>
      </c>
      <c r="H47" s="74">
        <v>38000</v>
      </c>
      <c r="I47" s="14">
        <f>+H47*5%</f>
        <v>1900</v>
      </c>
      <c r="J47" s="14">
        <f>+I47/2</f>
        <v>950</v>
      </c>
      <c r="K47" s="22" t="s">
        <v>640</v>
      </c>
      <c r="L47" s="14">
        <f>+I47/2</f>
        <v>950</v>
      </c>
      <c r="M47" s="12" t="s">
        <v>465</v>
      </c>
      <c r="N47" s="12"/>
      <c r="O47" s="23" t="s">
        <v>438</v>
      </c>
    </row>
    <row r="48" spans="1:15" ht="15.75" x14ac:dyDescent="0.25">
      <c r="A48" s="147" t="s">
        <v>49</v>
      </c>
      <c r="B48" s="148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9"/>
    </row>
    <row r="49" spans="1:15" x14ac:dyDescent="0.25">
      <c r="A49" s="12">
        <v>1</v>
      </c>
      <c r="B49" s="12" t="s">
        <v>16</v>
      </c>
      <c r="C49" s="12" t="s">
        <v>434</v>
      </c>
      <c r="D49" s="12">
        <v>309793</v>
      </c>
      <c r="E49" s="12" t="s">
        <v>43</v>
      </c>
      <c r="F49" s="12" t="s">
        <v>96</v>
      </c>
      <c r="G49" s="13">
        <v>46206</v>
      </c>
      <c r="H49" s="14">
        <v>18000</v>
      </c>
      <c r="I49" s="14">
        <v>1000</v>
      </c>
      <c r="J49" s="14">
        <f>+I49/2</f>
        <v>500</v>
      </c>
      <c r="K49" s="12" t="s">
        <v>662</v>
      </c>
      <c r="L49" s="14">
        <f>+I49/2</f>
        <v>500</v>
      </c>
      <c r="M49" s="12" t="s">
        <v>663</v>
      </c>
      <c r="N49" s="12"/>
      <c r="O49" s="23" t="s">
        <v>642</v>
      </c>
    </row>
    <row r="50" spans="1:15" x14ac:dyDescent="0.25">
      <c r="A50" s="12">
        <v>2</v>
      </c>
      <c r="B50" s="15" t="s">
        <v>16</v>
      </c>
      <c r="C50" s="15" t="s">
        <v>583</v>
      </c>
      <c r="D50" s="15">
        <v>326863</v>
      </c>
      <c r="E50" s="15" t="s">
        <v>17</v>
      </c>
      <c r="F50" s="15" t="s">
        <v>34</v>
      </c>
      <c r="G50" s="13">
        <v>46206</v>
      </c>
      <c r="H50" s="14">
        <v>27000</v>
      </c>
      <c r="I50" s="14">
        <f>+H50*5%</f>
        <v>1350</v>
      </c>
      <c r="J50" s="14">
        <f>+I50/2</f>
        <v>675</v>
      </c>
      <c r="K50" s="12" t="s">
        <v>464</v>
      </c>
      <c r="L50" s="14">
        <f>+I50/2</f>
        <v>675</v>
      </c>
      <c r="M50" s="12" t="s">
        <v>464</v>
      </c>
      <c r="N50" s="12"/>
      <c r="O50" s="12"/>
    </row>
    <row r="51" spans="1:15" s="5" customFormat="1" x14ac:dyDescent="0.25">
      <c r="A51" s="12">
        <v>3</v>
      </c>
      <c r="B51" s="15" t="s">
        <v>22</v>
      </c>
      <c r="C51" s="15" t="s">
        <v>629</v>
      </c>
      <c r="D51" s="15">
        <v>332328</v>
      </c>
      <c r="E51" s="15" t="s">
        <v>618</v>
      </c>
      <c r="F51" s="15" t="s">
        <v>532</v>
      </c>
      <c r="G51" s="13">
        <v>46210</v>
      </c>
      <c r="H51" s="14">
        <v>800</v>
      </c>
      <c r="I51" s="21">
        <f>+H51*2</f>
        <v>1600</v>
      </c>
      <c r="J51" s="21">
        <f>+I51/2</f>
        <v>800</v>
      </c>
      <c r="K51" s="19" t="s">
        <v>465</v>
      </c>
      <c r="L51" s="21">
        <f>+I51/2</f>
        <v>800</v>
      </c>
      <c r="M51" s="19" t="s">
        <v>465</v>
      </c>
      <c r="N51" s="91"/>
      <c r="O51" s="19"/>
    </row>
    <row r="52" spans="1:15" s="5" customFormat="1" ht="15.75" x14ac:dyDescent="0.25">
      <c r="A52" s="147" t="s">
        <v>55</v>
      </c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9"/>
    </row>
    <row r="53" spans="1:15" s="5" customFormat="1" x14ac:dyDescent="0.25">
      <c r="A53" s="12">
        <v>1</v>
      </c>
      <c r="B53" s="12" t="s">
        <v>22</v>
      </c>
      <c r="C53" s="12" t="s">
        <v>643</v>
      </c>
      <c r="D53" s="12">
        <v>338066</v>
      </c>
      <c r="E53" s="12" t="s">
        <v>17</v>
      </c>
      <c r="F53" s="12" t="s">
        <v>647</v>
      </c>
      <c r="G53" s="13">
        <v>46247</v>
      </c>
      <c r="H53" s="14">
        <v>38000</v>
      </c>
      <c r="I53" s="14">
        <f>+H53*5%</f>
        <v>1900</v>
      </c>
      <c r="J53" s="14">
        <f t="shared" ref="J53:J58" si="8">+I53/2</f>
        <v>950</v>
      </c>
      <c r="K53" s="12" t="s">
        <v>465</v>
      </c>
      <c r="L53" s="14">
        <f>+I53/2</f>
        <v>950</v>
      </c>
      <c r="M53" s="12" t="s">
        <v>465</v>
      </c>
      <c r="N53" s="12"/>
      <c r="O53" s="12"/>
    </row>
    <row r="54" spans="1:15" s="5" customFormat="1" x14ac:dyDescent="0.25">
      <c r="A54" s="12">
        <v>2</v>
      </c>
      <c r="B54" s="12" t="s">
        <v>265</v>
      </c>
      <c r="C54" s="12" t="s">
        <v>148</v>
      </c>
      <c r="D54" s="12" t="s">
        <v>148</v>
      </c>
      <c r="E54" s="12" t="s">
        <v>32</v>
      </c>
      <c r="F54" s="127" t="s">
        <v>651</v>
      </c>
      <c r="G54" s="13">
        <v>46248</v>
      </c>
      <c r="H54" s="14">
        <v>140</v>
      </c>
      <c r="I54" s="14">
        <f>+H54*2</f>
        <v>280</v>
      </c>
      <c r="J54" s="14">
        <f t="shared" si="8"/>
        <v>140</v>
      </c>
      <c r="K54" s="12"/>
      <c r="L54" s="14">
        <f>+J54</f>
        <v>140</v>
      </c>
      <c r="M54" s="12" t="s">
        <v>483</v>
      </c>
      <c r="N54" s="12"/>
      <c r="O54" s="12"/>
    </row>
    <row r="55" spans="1:15" s="5" customFormat="1" x14ac:dyDescent="0.25">
      <c r="A55" s="12">
        <v>3</v>
      </c>
      <c r="B55" s="12" t="s">
        <v>26</v>
      </c>
      <c r="C55" s="12" t="s">
        <v>415</v>
      </c>
      <c r="D55" s="12">
        <v>309808</v>
      </c>
      <c r="E55" s="12" t="s">
        <v>32</v>
      </c>
      <c r="F55" s="12" t="s">
        <v>433</v>
      </c>
      <c r="G55" s="13">
        <v>46252</v>
      </c>
      <c r="H55" s="14">
        <v>800</v>
      </c>
      <c r="I55" s="14">
        <f>+H55*2</f>
        <v>1600</v>
      </c>
      <c r="J55" s="14">
        <f t="shared" si="8"/>
        <v>800</v>
      </c>
      <c r="K55" s="14" t="s">
        <v>483</v>
      </c>
      <c r="L55" s="14">
        <f>+J55</f>
        <v>800</v>
      </c>
      <c r="M55" s="12" t="s">
        <v>664</v>
      </c>
      <c r="N55" s="23"/>
      <c r="O55" s="23" t="s">
        <v>656</v>
      </c>
    </row>
    <row r="56" spans="1:15" s="5" customFormat="1" x14ac:dyDescent="0.25">
      <c r="A56" s="12">
        <v>4</v>
      </c>
      <c r="B56" s="12" t="s">
        <v>183</v>
      </c>
      <c r="C56" s="12" t="s">
        <v>148</v>
      </c>
      <c r="D56" s="12" t="s">
        <v>148</v>
      </c>
      <c r="E56" s="12" t="s">
        <v>645</v>
      </c>
      <c r="F56" s="12" t="s">
        <v>657</v>
      </c>
      <c r="G56" s="13">
        <v>46253</v>
      </c>
      <c r="H56" s="14">
        <v>1100</v>
      </c>
      <c r="I56" s="14">
        <f>+H56*2</f>
        <v>2200</v>
      </c>
      <c r="J56" s="14">
        <f t="shared" si="8"/>
        <v>1100</v>
      </c>
      <c r="K56" s="12" t="s">
        <v>665</v>
      </c>
      <c r="L56" s="14">
        <f>+J56</f>
        <v>1100</v>
      </c>
      <c r="M56" s="12" t="s">
        <v>439</v>
      </c>
      <c r="N56" s="12"/>
      <c r="O56" s="23" t="s">
        <v>658</v>
      </c>
    </row>
    <row r="57" spans="1:15" s="5" customFormat="1" x14ac:dyDescent="0.25">
      <c r="A57" s="12">
        <v>5</v>
      </c>
      <c r="B57" s="12" t="s">
        <v>183</v>
      </c>
      <c r="C57" s="15" t="s">
        <v>635</v>
      </c>
      <c r="D57" s="12">
        <v>335356</v>
      </c>
      <c r="E57" s="12" t="s">
        <v>24</v>
      </c>
      <c r="F57" s="12" t="s">
        <v>340</v>
      </c>
      <c r="G57" s="13">
        <v>46255</v>
      </c>
      <c r="H57" s="14">
        <v>38000</v>
      </c>
      <c r="I57" s="14">
        <f>+H57*5%</f>
        <v>1900</v>
      </c>
      <c r="J57" s="14">
        <f t="shared" si="8"/>
        <v>950</v>
      </c>
      <c r="K57" s="14" t="s">
        <v>439</v>
      </c>
      <c r="L57" s="14">
        <f>+J57</f>
        <v>950</v>
      </c>
      <c r="M57" s="12" t="s">
        <v>667</v>
      </c>
      <c r="N57" s="12"/>
      <c r="O57" s="23" t="s">
        <v>666</v>
      </c>
    </row>
    <row r="58" spans="1:15" s="5" customFormat="1" x14ac:dyDescent="0.25">
      <c r="A58" s="12">
        <v>6</v>
      </c>
      <c r="B58" s="12" t="s">
        <v>22</v>
      </c>
      <c r="C58" s="12" t="s">
        <v>148</v>
      </c>
      <c r="D58" s="12" t="s">
        <v>148</v>
      </c>
      <c r="E58" s="12" t="s">
        <v>17</v>
      </c>
      <c r="F58" s="12" t="s">
        <v>649</v>
      </c>
      <c r="G58" s="13">
        <v>46259</v>
      </c>
      <c r="H58" s="14">
        <v>46000</v>
      </c>
      <c r="I58" s="14">
        <f>+H58*5%</f>
        <v>2300</v>
      </c>
      <c r="J58" s="14">
        <f t="shared" si="8"/>
        <v>1150</v>
      </c>
      <c r="K58" s="12" t="s">
        <v>668</v>
      </c>
      <c r="L58" s="14">
        <f>+J58</f>
        <v>1150</v>
      </c>
      <c r="M58" s="12" t="s">
        <v>465</v>
      </c>
      <c r="N58" s="12"/>
      <c r="O58" s="23" t="s">
        <v>661</v>
      </c>
    </row>
    <row r="59" spans="1:15" s="5" customFormat="1" ht="15.75" x14ac:dyDescent="0.25">
      <c r="A59" s="147" t="s">
        <v>55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9"/>
    </row>
    <row r="60" spans="1:15" s="5" customFormat="1" x14ac:dyDescent="0.25">
      <c r="A60" s="12"/>
      <c r="B60" s="12"/>
      <c r="C60" s="12"/>
      <c r="D60" s="93"/>
      <c r="E60" s="12"/>
      <c r="F60" s="12"/>
      <c r="G60" s="13"/>
      <c r="H60" s="14"/>
      <c r="I60" s="14"/>
      <c r="J60" s="14"/>
      <c r="K60" s="12"/>
      <c r="L60" s="14"/>
      <c r="M60" s="12"/>
      <c r="N60" s="12"/>
      <c r="O60" s="23"/>
    </row>
    <row r="61" spans="1:15" s="5" customFormat="1" x14ac:dyDescent="0.25">
      <c r="A61" s="12"/>
      <c r="B61" s="12"/>
      <c r="C61" s="12"/>
      <c r="D61" s="12"/>
      <c r="E61" s="12"/>
      <c r="F61" s="12"/>
      <c r="G61" s="13"/>
      <c r="H61" s="14"/>
      <c r="I61" s="14"/>
      <c r="J61" s="14"/>
      <c r="K61" s="12"/>
      <c r="L61" s="14"/>
      <c r="M61" s="12"/>
      <c r="N61" s="12"/>
      <c r="O61" s="23"/>
    </row>
    <row r="62" spans="1:15" s="5" customFormat="1" x14ac:dyDescent="0.25">
      <c r="A62" s="12"/>
      <c r="B62" s="12"/>
      <c r="C62" s="12"/>
      <c r="D62" s="12"/>
      <c r="E62" s="12"/>
      <c r="F62" s="12"/>
      <c r="G62" s="13"/>
      <c r="H62" s="14"/>
      <c r="I62" s="14"/>
      <c r="J62" s="14"/>
      <c r="K62" s="12"/>
      <c r="L62" s="14"/>
      <c r="M62" s="12"/>
      <c r="N62" s="12"/>
      <c r="O62" s="23"/>
    </row>
    <row r="63" spans="1:15" s="5" customFormat="1" x14ac:dyDescent="0.25">
      <c r="A63" s="12"/>
      <c r="B63" s="12"/>
      <c r="C63" s="12"/>
      <c r="D63" s="12"/>
      <c r="E63" s="12"/>
      <c r="F63" s="12"/>
      <c r="G63" s="13"/>
      <c r="H63" s="14"/>
      <c r="I63" s="14"/>
      <c r="J63" s="14"/>
      <c r="K63" s="12"/>
      <c r="L63" s="14"/>
      <c r="M63" s="12"/>
      <c r="N63" s="12"/>
      <c r="O63" s="12"/>
    </row>
    <row r="64" spans="1:15" s="5" customFormat="1" x14ac:dyDescent="0.25">
      <c r="A64" s="12"/>
      <c r="B64" s="12"/>
      <c r="C64" s="12"/>
      <c r="D64" s="12"/>
      <c r="E64" s="12"/>
      <c r="F64" s="12"/>
      <c r="G64" s="12"/>
      <c r="H64" s="14"/>
      <c r="I64" s="14"/>
      <c r="J64" s="14"/>
      <c r="K64" s="12"/>
      <c r="L64" s="14"/>
      <c r="M64" s="12"/>
      <c r="N64" s="12"/>
      <c r="O64" s="12"/>
    </row>
    <row r="65" spans="1:15" s="5" customFormat="1" x14ac:dyDescent="0.25">
      <c r="A65" s="12"/>
      <c r="B65" s="12"/>
      <c r="C65" s="12"/>
      <c r="D65" s="12"/>
      <c r="E65" s="12"/>
      <c r="F65" s="12"/>
      <c r="G65" s="12"/>
      <c r="H65" s="14"/>
      <c r="I65" s="14"/>
      <c r="J65" s="14"/>
      <c r="K65" s="12"/>
      <c r="L65" s="14"/>
      <c r="M65" s="12"/>
      <c r="N65" s="12"/>
      <c r="O65" s="12"/>
    </row>
    <row r="66" spans="1:15" s="5" customFormat="1" x14ac:dyDescent="0.25">
      <c r="A66" s="12"/>
      <c r="B66" s="12"/>
      <c r="C66" s="12"/>
      <c r="D66" s="12"/>
      <c r="E66" s="12"/>
      <c r="F66" s="12"/>
      <c r="G66" s="12"/>
      <c r="H66" s="14"/>
      <c r="I66" s="14"/>
      <c r="J66" s="14"/>
      <c r="K66" s="12"/>
      <c r="L66" s="14"/>
      <c r="M66" s="12"/>
      <c r="N66" s="12"/>
      <c r="O66" s="12"/>
    </row>
    <row r="67" spans="1:15" s="5" customFormat="1" x14ac:dyDescent="0.25">
      <c r="A67" s="12"/>
      <c r="B67" s="12"/>
      <c r="C67" s="12"/>
      <c r="D67" s="12"/>
      <c r="E67" s="12"/>
      <c r="F67" s="12"/>
      <c r="G67" s="12"/>
      <c r="H67" s="14"/>
      <c r="I67" s="14"/>
      <c r="J67" s="14"/>
      <c r="K67" s="12"/>
      <c r="L67" s="14"/>
      <c r="M67" s="12"/>
      <c r="N67" s="12"/>
      <c r="O67" s="12"/>
    </row>
    <row r="68" spans="1:15" s="5" customFormat="1" x14ac:dyDescent="0.25">
      <c r="A68" s="12"/>
      <c r="B68" s="12"/>
      <c r="C68" s="12"/>
      <c r="D68" s="12"/>
      <c r="E68" s="12"/>
      <c r="F68" s="12"/>
      <c r="G68" s="12"/>
      <c r="H68" s="14"/>
      <c r="I68" s="14"/>
      <c r="J68" s="14"/>
      <c r="K68" s="12"/>
      <c r="L68" s="14"/>
      <c r="M68" s="12"/>
      <c r="N68" s="12"/>
      <c r="O68" s="12"/>
    </row>
    <row r="69" spans="1:15" s="5" customFormat="1" x14ac:dyDescent="0.25">
      <c r="A69" s="12"/>
      <c r="B69" s="12"/>
      <c r="C69" s="12"/>
      <c r="D69" s="12"/>
      <c r="E69" s="12"/>
      <c r="F69" s="12"/>
      <c r="G69" s="12"/>
      <c r="H69" s="14"/>
      <c r="I69" s="14"/>
      <c r="J69" s="14"/>
      <c r="K69" s="12"/>
      <c r="L69" s="14"/>
      <c r="M69" s="12"/>
      <c r="N69" s="12"/>
      <c r="O69" s="12"/>
    </row>
    <row r="70" spans="1:15" s="5" customFormat="1" x14ac:dyDescent="0.25">
      <c r="A70" s="12"/>
      <c r="B70" s="12"/>
      <c r="C70" s="12"/>
      <c r="D70" s="12"/>
      <c r="E70" s="12"/>
      <c r="F70" s="12"/>
      <c r="G70" s="12"/>
      <c r="H70" s="14"/>
      <c r="I70" s="14"/>
      <c r="J70" s="14"/>
      <c r="K70" s="12"/>
      <c r="L70" s="14"/>
      <c r="M70" s="12"/>
      <c r="N70" s="12"/>
      <c r="O70" s="12"/>
    </row>
    <row r="71" spans="1:15" s="5" customFormat="1" x14ac:dyDescent="0.25">
      <c r="A71" s="12"/>
      <c r="B71" s="12"/>
      <c r="C71" s="12"/>
      <c r="D71" s="12"/>
      <c r="E71" s="12"/>
      <c r="F71" s="12"/>
      <c r="G71" s="12"/>
      <c r="H71" s="14"/>
      <c r="I71" s="14"/>
      <c r="J71" s="14"/>
      <c r="K71" s="12"/>
      <c r="L71" s="14"/>
      <c r="M71" s="12"/>
      <c r="N71" s="12"/>
      <c r="O71" s="12"/>
    </row>
    <row r="72" spans="1:15" s="5" customFormat="1" x14ac:dyDescent="0.25">
      <c r="A72" s="12"/>
      <c r="B72" s="12"/>
      <c r="C72" s="12"/>
      <c r="D72" s="12"/>
      <c r="E72" s="12"/>
      <c r="F72" s="12"/>
      <c r="G72" s="12"/>
      <c r="H72" s="14"/>
      <c r="I72" s="14"/>
      <c r="J72" s="14"/>
      <c r="K72" s="12"/>
      <c r="L72" s="14"/>
      <c r="M72" s="12"/>
      <c r="N72" s="12"/>
      <c r="O72" s="12"/>
    </row>
    <row r="73" spans="1:15" s="5" customFormat="1" x14ac:dyDescent="0.25">
      <c r="A73" s="12"/>
      <c r="B73" s="12"/>
      <c r="C73" s="12"/>
      <c r="D73" s="12"/>
      <c r="E73" s="12"/>
      <c r="F73" s="12"/>
      <c r="G73" s="12"/>
      <c r="H73" s="14"/>
      <c r="I73" s="14"/>
      <c r="J73" s="14"/>
      <c r="K73" s="12"/>
      <c r="L73" s="14"/>
      <c r="M73" s="12"/>
      <c r="N73" s="12"/>
      <c r="O73" s="12"/>
    </row>
    <row r="74" spans="1:15" s="5" customFormat="1" x14ac:dyDescent="0.25">
      <c r="A74" s="12"/>
      <c r="B74" s="12"/>
      <c r="C74" s="12"/>
      <c r="D74" s="12"/>
      <c r="E74" s="12"/>
      <c r="F74" s="12"/>
      <c r="G74" s="12"/>
      <c r="H74" s="14"/>
      <c r="I74" s="14"/>
      <c r="J74" s="14"/>
      <c r="K74" s="12"/>
      <c r="L74" s="14"/>
      <c r="M74" s="12"/>
      <c r="N74" s="12"/>
      <c r="O74" s="12"/>
    </row>
    <row r="75" spans="1:15" s="5" customFormat="1" x14ac:dyDescent="0.25">
      <c r="A75" s="12"/>
      <c r="B75" s="12"/>
      <c r="C75" s="12"/>
      <c r="D75" s="12"/>
      <c r="E75" s="12"/>
      <c r="F75" s="12"/>
      <c r="G75" s="12"/>
      <c r="H75" s="14"/>
      <c r="I75" s="14"/>
      <c r="J75" s="14"/>
      <c r="K75" s="12"/>
      <c r="L75" s="14"/>
      <c r="M75" s="12"/>
      <c r="N75" s="12"/>
      <c r="O75" s="12"/>
    </row>
    <row r="76" spans="1:15" s="5" customFormat="1" x14ac:dyDescent="0.25">
      <c r="H76" s="90"/>
      <c r="I76" s="90"/>
      <c r="J76" s="90"/>
      <c r="L76" s="90"/>
    </row>
    <row r="77" spans="1:15" s="5" customFormat="1" x14ac:dyDescent="0.25">
      <c r="H77" s="90"/>
      <c r="I77" s="90"/>
      <c r="J77" s="90"/>
      <c r="L77" s="90"/>
    </row>
    <row r="78" spans="1:15" s="5" customFormat="1" x14ac:dyDescent="0.25">
      <c r="H78" s="90"/>
      <c r="I78" s="90"/>
      <c r="J78" s="90"/>
      <c r="L78" s="90"/>
    </row>
    <row r="79" spans="1:15" s="5" customFormat="1" x14ac:dyDescent="0.25">
      <c r="H79" s="90"/>
      <c r="I79" s="90"/>
      <c r="J79" s="90"/>
      <c r="L79" s="90"/>
    </row>
    <row r="80" spans="1:15" s="5" customFormat="1" x14ac:dyDescent="0.25">
      <c r="H80" s="90"/>
      <c r="I80" s="90"/>
      <c r="J80" s="90"/>
      <c r="L80" s="90"/>
    </row>
    <row r="81" spans="8:12" s="5" customFormat="1" x14ac:dyDescent="0.25">
      <c r="H81" s="90"/>
      <c r="I81" s="90"/>
      <c r="J81" s="90"/>
      <c r="L81" s="90"/>
    </row>
    <row r="82" spans="8:12" s="5" customFormat="1" x14ac:dyDescent="0.25">
      <c r="H82" s="90"/>
      <c r="I82" s="90"/>
      <c r="J82" s="90"/>
      <c r="L82" s="90"/>
    </row>
    <row r="83" spans="8:12" s="5" customFormat="1" x14ac:dyDescent="0.25">
      <c r="H83" s="90"/>
      <c r="I83" s="90"/>
      <c r="J83" s="90"/>
      <c r="L83" s="90"/>
    </row>
    <row r="84" spans="8:12" s="5" customFormat="1" x14ac:dyDescent="0.25">
      <c r="H84" s="90"/>
      <c r="I84" s="90"/>
      <c r="J84" s="90"/>
      <c r="L84" s="90"/>
    </row>
    <row r="85" spans="8:12" s="5" customFormat="1" x14ac:dyDescent="0.25">
      <c r="H85" s="90"/>
      <c r="I85" s="90"/>
      <c r="J85" s="90"/>
      <c r="L85" s="90"/>
    </row>
    <row r="86" spans="8:12" s="5" customFormat="1" x14ac:dyDescent="0.25">
      <c r="H86" s="90"/>
      <c r="I86" s="90"/>
      <c r="J86" s="90"/>
      <c r="L86" s="90"/>
    </row>
    <row r="87" spans="8:12" s="5" customFormat="1" x14ac:dyDescent="0.25">
      <c r="H87" s="90"/>
      <c r="I87" s="90"/>
      <c r="J87" s="90"/>
      <c r="L87" s="90"/>
    </row>
    <row r="88" spans="8:12" s="5" customFormat="1" x14ac:dyDescent="0.25">
      <c r="H88" s="90"/>
      <c r="I88" s="90"/>
      <c r="J88" s="90"/>
      <c r="L88" s="90"/>
    </row>
    <row r="89" spans="8:12" s="5" customFormat="1" x14ac:dyDescent="0.25">
      <c r="H89" s="90"/>
      <c r="I89" s="90"/>
      <c r="J89" s="90"/>
      <c r="L89" s="90"/>
    </row>
    <row r="90" spans="8:12" s="5" customFormat="1" x14ac:dyDescent="0.25">
      <c r="H90" s="90"/>
      <c r="I90" s="90"/>
      <c r="J90" s="90"/>
      <c r="L90" s="90"/>
    </row>
    <row r="91" spans="8:12" s="5" customFormat="1" x14ac:dyDescent="0.25">
      <c r="H91" s="90"/>
      <c r="I91" s="90"/>
      <c r="J91" s="90"/>
      <c r="L91" s="90"/>
    </row>
    <row r="92" spans="8:12" s="5" customFormat="1" x14ac:dyDescent="0.25">
      <c r="H92" s="90"/>
      <c r="I92" s="90"/>
      <c r="J92" s="90"/>
      <c r="L92" s="90"/>
    </row>
    <row r="93" spans="8:12" s="5" customFormat="1" x14ac:dyDescent="0.25">
      <c r="H93" s="90"/>
      <c r="I93" s="90"/>
      <c r="J93" s="90"/>
      <c r="L93" s="90"/>
    </row>
    <row r="94" spans="8:12" s="5" customFormat="1" x14ac:dyDescent="0.25">
      <c r="H94" s="90"/>
      <c r="I94" s="90"/>
      <c r="J94" s="90"/>
      <c r="L94" s="90"/>
    </row>
    <row r="95" spans="8:12" s="5" customFormat="1" x14ac:dyDescent="0.25">
      <c r="H95" s="90"/>
      <c r="I95" s="90"/>
      <c r="J95" s="90"/>
      <c r="L95" s="90"/>
    </row>
    <row r="96" spans="8:12" s="5" customFormat="1" x14ac:dyDescent="0.25">
      <c r="H96" s="90"/>
      <c r="I96" s="90"/>
      <c r="J96" s="90"/>
      <c r="L96" s="90"/>
    </row>
    <row r="97" spans="8:12" s="5" customFormat="1" x14ac:dyDescent="0.25">
      <c r="H97" s="90"/>
      <c r="I97" s="90"/>
      <c r="J97" s="90"/>
      <c r="L97" s="90"/>
    </row>
    <row r="98" spans="8:12" s="5" customFormat="1" x14ac:dyDescent="0.25">
      <c r="H98" s="90"/>
      <c r="I98" s="90"/>
      <c r="J98" s="90"/>
      <c r="L98" s="90"/>
    </row>
    <row r="99" spans="8:12" x14ac:dyDescent="0.25">
      <c r="H99" s="75"/>
      <c r="I99" s="75"/>
      <c r="J99" s="75"/>
    </row>
    <row r="100" spans="8:12" x14ac:dyDescent="0.25">
      <c r="H100" s="75"/>
      <c r="I100" s="75"/>
      <c r="J100" s="75"/>
    </row>
    <row r="101" spans="8:12" x14ac:dyDescent="0.25">
      <c r="H101" s="75"/>
      <c r="I101" s="75"/>
      <c r="J101" s="75"/>
    </row>
    <row r="102" spans="8:12" x14ac:dyDescent="0.25">
      <c r="H102" s="75"/>
      <c r="I102" s="75"/>
      <c r="J102" s="75"/>
    </row>
    <row r="103" spans="8:12" x14ac:dyDescent="0.25">
      <c r="H103" s="75"/>
      <c r="I103" s="75"/>
      <c r="J103" s="75"/>
    </row>
    <row r="104" spans="8:12" x14ac:dyDescent="0.25">
      <c r="H104" s="75"/>
      <c r="I104" s="75"/>
      <c r="J104" s="75"/>
    </row>
  </sheetData>
  <mergeCells count="10">
    <mergeCell ref="A3:N3"/>
    <mergeCell ref="A7:O7"/>
    <mergeCell ref="A14:O14"/>
    <mergeCell ref="A25:O25"/>
    <mergeCell ref="A33:O33"/>
    <mergeCell ref="A52:O52"/>
    <mergeCell ref="A59:O59"/>
    <mergeCell ref="A48:O48"/>
    <mergeCell ref="A44:O44"/>
    <mergeCell ref="A39:O39"/>
  </mergeCells>
  <pageMargins left="0.7" right="0.7" top="0.75" bottom="0.75" header="0.3" footer="0.3"/>
  <pageSetup orientation="portrait" verticalDpi="360" r:id="rId1"/>
  <ignoredErrors>
    <ignoredError sqref="I21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3CC2-4B32-4399-A259-10A73DF8A2FA}">
  <sheetPr>
    <tabColor rgb="FFC0FAD7"/>
  </sheetPr>
  <dimension ref="A2:G89"/>
  <sheetViews>
    <sheetView topLeftCell="A43" workbookViewId="0">
      <selection activeCell="I41" sqref="I41"/>
    </sheetView>
  </sheetViews>
  <sheetFormatPr baseColWidth="10" defaultRowHeight="15" x14ac:dyDescent="0.25"/>
  <cols>
    <col min="1" max="1" width="12.7109375" customWidth="1"/>
    <col min="2" max="2" width="12.7109375" bestFit="1" customWidth="1"/>
    <col min="3" max="3" width="19.42578125" customWidth="1"/>
    <col min="4" max="4" width="7.7109375" bestFit="1" customWidth="1"/>
    <col min="5" max="5" width="12.7109375" customWidth="1"/>
    <col min="6" max="6" width="9.5703125" customWidth="1"/>
    <col min="7" max="7" width="15.28515625" customWidth="1"/>
  </cols>
  <sheetData>
    <row r="2" spans="1:7" x14ac:dyDescent="0.25">
      <c r="A2" s="29"/>
      <c r="B2" s="29"/>
      <c r="C2" s="29"/>
      <c r="D2" s="29"/>
    </row>
    <row r="3" spans="1:7" x14ac:dyDescent="0.25">
      <c r="A3" s="29"/>
      <c r="B3" s="29"/>
      <c r="C3" s="29"/>
      <c r="D3" s="29"/>
    </row>
    <row r="4" spans="1:7" x14ac:dyDescent="0.25">
      <c r="A4" s="29"/>
      <c r="B4" s="29"/>
      <c r="C4" s="29"/>
      <c r="D4" s="29"/>
    </row>
    <row r="5" spans="1:7" x14ac:dyDescent="0.25">
      <c r="A5" s="29"/>
      <c r="B5" s="29"/>
      <c r="C5" s="29"/>
      <c r="D5" s="29"/>
    </row>
    <row r="6" spans="1:7" x14ac:dyDescent="0.25">
      <c r="A6" s="29"/>
      <c r="B6" s="29"/>
      <c r="C6" s="29"/>
      <c r="D6" s="29"/>
    </row>
    <row r="7" spans="1:7" x14ac:dyDescent="0.25">
      <c r="A7" s="29"/>
      <c r="B7" s="29"/>
      <c r="C7" s="29"/>
      <c r="D7" s="29"/>
    </row>
    <row r="8" spans="1:7" ht="18.75" x14ac:dyDescent="0.25">
      <c r="A8" s="153" t="s">
        <v>125</v>
      </c>
      <c r="B8" s="153"/>
      <c r="C8" s="153"/>
      <c r="E8" s="153" t="s">
        <v>126</v>
      </c>
      <c r="F8" s="153"/>
      <c r="G8" s="153"/>
    </row>
    <row r="9" spans="1:7" ht="31.5" x14ac:dyDescent="0.25">
      <c r="A9" s="52" t="s">
        <v>127</v>
      </c>
      <c r="B9" s="53" t="s">
        <v>128</v>
      </c>
      <c r="C9" s="52" t="s">
        <v>129</v>
      </c>
      <c r="E9" s="52" t="s">
        <v>127</v>
      </c>
      <c r="F9" s="52" t="s">
        <v>130</v>
      </c>
      <c r="G9" s="52" t="s">
        <v>131</v>
      </c>
    </row>
    <row r="10" spans="1:7" ht="15" customHeight="1" x14ac:dyDescent="0.25">
      <c r="A10" s="168" t="s">
        <v>132</v>
      </c>
      <c r="B10" s="27">
        <v>3</v>
      </c>
      <c r="C10" s="56" t="s">
        <v>16</v>
      </c>
      <c r="E10" s="168" t="s">
        <v>132</v>
      </c>
      <c r="F10" s="27">
        <v>3</v>
      </c>
      <c r="G10" s="54" t="s">
        <v>183</v>
      </c>
    </row>
    <row r="11" spans="1:7" ht="15" customHeight="1" x14ac:dyDescent="0.25">
      <c r="A11" s="169"/>
      <c r="B11" s="27">
        <v>3</v>
      </c>
      <c r="C11" s="56" t="s">
        <v>22</v>
      </c>
      <c r="E11" s="169"/>
      <c r="F11" s="27">
        <v>3</v>
      </c>
      <c r="G11" s="54" t="s">
        <v>16</v>
      </c>
    </row>
    <row r="12" spans="1:7" ht="15" customHeight="1" x14ac:dyDescent="0.25">
      <c r="A12" s="170"/>
      <c r="B12" s="27">
        <v>1</v>
      </c>
      <c r="C12" s="56" t="s">
        <v>468</v>
      </c>
      <c r="E12" s="170"/>
      <c r="F12" s="27">
        <v>3</v>
      </c>
      <c r="G12" s="54" t="s">
        <v>22</v>
      </c>
    </row>
    <row r="14" spans="1:7" ht="18.75" x14ac:dyDescent="0.25">
      <c r="A14" s="153" t="s">
        <v>125</v>
      </c>
      <c r="B14" s="153"/>
      <c r="C14" s="153"/>
      <c r="E14" s="153" t="s">
        <v>126</v>
      </c>
      <c r="F14" s="153"/>
      <c r="G14" s="153"/>
    </row>
    <row r="15" spans="1:7" ht="31.5" x14ac:dyDescent="0.25">
      <c r="A15" s="52" t="s">
        <v>127</v>
      </c>
      <c r="B15" s="53" t="s">
        <v>128</v>
      </c>
      <c r="C15" s="52" t="s">
        <v>129</v>
      </c>
      <c r="E15" s="52" t="s">
        <v>127</v>
      </c>
      <c r="F15" s="52" t="s">
        <v>130</v>
      </c>
      <c r="G15" s="52" t="s">
        <v>131</v>
      </c>
    </row>
    <row r="16" spans="1:7" ht="15" customHeight="1" x14ac:dyDescent="0.25">
      <c r="A16" s="171" t="s">
        <v>133</v>
      </c>
      <c r="B16" s="27">
        <v>5</v>
      </c>
      <c r="C16" s="24" t="s">
        <v>16</v>
      </c>
      <c r="E16" s="166" t="s">
        <v>133</v>
      </c>
      <c r="F16" s="27">
        <v>6</v>
      </c>
      <c r="G16" s="54" t="s">
        <v>16</v>
      </c>
    </row>
    <row r="17" spans="1:7" ht="15" customHeight="1" x14ac:dyDescent="0.25">
      <c r="A17" s="172"/>
      <c r="B17" s="27">
        <v>5</v>
      </c>
      <c r="C17" s="24" t="s">
        <v>458</v>
      </c>
      <c r="E17" s="167"/>
      <c r="F17" s="27">
        <v>4</v>
      </c>
      <c r="G17" s="54" t="s">
        <v>265</v>
      </c>
    </row>
    <row r="18" spans="1:7" ht="15" customHeight="1" x14ac:dyDescent="0.25">
      <c r="A18" s="172"/>
      <c r="B18" s="27">
        <v>3</v>
      </c>
      <c r="C18" s="24" t="s">
        <v>469</v>
      </c>
      <c r="E18" s="167"/>
      <c r="F18" s="27">
        <v>4</v>
      </c>
      <c r="G18" s="54" t="s">
        <v>490</v>
      </c>
    </row>
    <row r="19" spans="1:7" ht="15" customHeight="1" x14ac:dyDescent="0.25">
      <c r="A19" s="172"/>
      <c r="B19" s="27">
        <v>2</v>
      </c>
      <c r="C19" s="24" t="s">
        <v>265</v>
      </c>
      <c r="E19" s="167"/>
      <c r="F19" s="27">
        <v>1</v>
      </c>
      <c r="G19" s="54" t="s">
        <v>458</v>
      </c>
    </row>
    <row r="20" spans="1:7" ht="15" customHeight="1" x14ac:dyDescent="0.25">
      <c r="A20" s="172"/>
      <c r="B20" s="27">
        <v>2</v>
      </c>
      <c r="C20" s="24" t="s">
        <v>22</v>
      </c>
      <c r="E20" s="167"/>
      <c r="F20" s="55">
        <v>1</v>
      </c>
      <c r="G20" s="24" t="s">
        <v>183</v>
      </c>
    </row>
    <row r="22" spans="1:7" ht="18.75" x14ac:dyDescent="0.25">
      <c r="A22" s="153" t="s">
        <v>125</v>
      </c>
      <c r="B22" s="153"/>
      <c r="C22" s="153"/>
      <c r="E22" s="174" t="s">
        <v>126</v>
      </c>
      <c r="F22" s="174"/>
      <c r="G22" s="174"/>
    </row>
    <row r="23" spans="1:7" ht="31.5" x14ac:dyDescent="0.25">
      <c r="A23" s="52" t="s">
        <v>127</v>
      </c>
      <c r="B23" s="53" t="s">
        <v>128</v>
      </c>
      <c r="C23" s="52" t="s">
        <v>129</v>
      </c>
      <c r="E23" s="52" t="s">
        <v>127</v>
      </c>
      <c r="F23" s="52" t="s">
        <v>130</v>
      </c>
      <c r="G23" s="52" t="s">
        <v>131</v>
      </c>
    </row>
    <row r="24" spans="1:7" ht="15" customHeight="1" x14ac:dyDescent="0.25">
      <c r="A24" s="154" t="s">
        <v>173</v>
      </c>
      <c r="B24" s="27">
        <v>7</v>
      </c>
      <c r="C24" s="56" t="s">
        <v>16</v>
      </c>
      <c r="E24" s="154" t="s">
        <v>173</v>
      </c>
      <c r="F24" s="27">
        <v>6</v>
      </c>
      <c r="G24" s="54" t="s">
        <v>265</v>
      </c>
    </row>
    <row r="25" spans="1:7" ht="15" customHeight="1" x14ac:dyDescent="0.25">
      <c r="A25" s="155"/>
      <c r="B25" s="27">
        <v>7</v>
      </c>
      <c r="C25" s="56" t="s">
        <v>22</v>
      </c>
      <c r="E25" s="155"/>
      <c r="F25" s="27">
        <v>3</v>
      </c>
      <c r="G25" s="54" t="s">
        <v>22</v>
      </c>
    </row>
    <row r="26" spans="1:7" ht="15" customHeight="1" x14ac:dyDescent="0.25">
      <c r="A26" s="155"/>
      <c r="B26" s="27">
        <v>3</v>
      </c>
      <c r="C26" s="56" t="s">
        <v>458</v>
      </c>
      <c r="E26" s="155"/>
      <c r="F26" s="27">
        <v>2</v>
      </c>
      <c r="G26" s="83" t="s">
        <v>469</v>
      </c>
    </row>
    <row r="27" spans="1:7" ht="15" customHeight="1" x14ac:dyDescent="0.25">
      <c r="A27" s="155"/>
      <c r="B27" s="27">
        <v>3</v>
      </c>
      <c r="C27" s="24" t="s">
        <v>469</v>
      </c>
      <c r="E27" s="155"/>
      <c r="F27" s="27">
        <v>1</v>
      </c>
      <c r="G27" s="83" t="s">
        <v>16</v>
      </c>
    </row>
    <row r="28" spans="1:7" ht="15" customHeight="1" x14ac:dyDescent="0.25">
      <c r="A28" s="100"/>
      <c r="B28" s="27">
        <v>2</v>
      </c>
      <c r="C28" s="56" t="s">
        <v>265</v>
      </c>
      <c r="E28" s="102"/>
      <c r="F28" s="47"/>
      <c r="G28" s="101"/>
    </row>
    <row r="30" spans="1:7" ht="18.75" x14ac:dyDescent="0.25">
      <c r="A30" s="153" t="s">
        <v>125</v>
      </c>
      <c r="B30" s="153"/>
      <c r="C30" s="153"/>
      <c r="E30" s="174" t="s">
        <v>126</v>
      </c>
      <c r="F30" s="174"/>
      <c r="G30" s="174"/>
    </row>
    <row r="31" spans="1:7" ht="31.5" x14ac:dyDescent="0.25">
      <c r="A31" s="52" t="s">
        <v>127</v>
      </c>
      <c r="B31" s="53" t="s">
        <v>128</v>
      </c>
      <c r="C31" s="52" t="s">
        <v>129</v>
      </c>
      <c r="E31" s="52" t="s">
        <v>127</v>
      </c>
      <c r="F31" s="52" t="s">
        <v>130</v>
      </c>
      <c r="G31" s="52" t="s">
        <v>131</v>
      </c>
    </row>
    <row r="32" spans="1:7" ht="15" customHeight="1" x14ac:dyDescent="0.25">
      <c r="A32" s="156" t="s">
        <v>210</v>
      </c>
      <c r="B32" s="27">
        <v>2</v>
      </c>
      <c r="C32" s="56" t="s">
        <v>549</v>
      </c>
      <c r="E32" s="154" t="s">
        <v>210</v>
      </c>
      <c r="F32" s="27">
        <v>2</v>
      </c>
      <c r="G32" s="54" t="s">
        <v>469</v>
      </c>
    </row>
    <row r="33" spans="1:7" ht="15" customHeight="1" x14ac:dyDescent="0.25">
      <c r="A33" s="157"/>
      <c r="B33" s="27">
        <v>2</v>
      </c>
      <c r="C33" s="56" t="s">
        <v>22</v>
      </c>
      <c r="E33" s="155"/>
      <c r="F33" s="27">
        <v>2</v>
      </c>
      <c r="G33" s="54" t="s">
        <v>265</v>
      </c>
    </row>
    <row r="34" spans="1:7" ht="15" customHeight="1" x14ac:dyDescent="0.25">
      <c r="A34" s="157"/>
      <c r="B34" s="55">
        <v>2</v>
      </c>
      <c r="C34" s="24" t="s">
        <v>16</v>
      </c>
      <c r="E34" s="155"/>
      <c r="F34" s="27">
        <v>2</v>
      </c>
      <c r="G34" s="83" t="s">
        <v>183</v>
      </c>
    </row>
    <row r="35" spans="1:7" ht="15" customHeight="1" x14ac:dyDescent="0.25">
      <c r="A35" s="157"/>
      <c r="B35" s="55">
        <v>2</v>
      </c>
      <c r="C35" s="83" t="s">
        <v>183</v>
      </c>
      <c r="E35" s="155"/>
      <c r="F35" s="27">
        <v>1</v>
      </c>
      <c r="G35" s="83" t="s">
        <v>572</v>
      </c>
    </row>
    <row r="36" spans="1:7" ht="15" customHeight="1" x14ac:dyDescent="0.25">
      <c r="A36" s="157"/>
      <c r="B36" s="55">
        <v>1</v>
      </c>
      <c r="C36" s="83" t="s">
        <v>469</v>
      </c>
      <c r="E36" s="155"/>
      <c r="F36" s="27">
        <v>1</v>
      </c>
      <c r="G36" s="83" t="s">
        <v>16</v>
      </c>
    </row>
    <row r="37" spans="1:7" ht="15" customHeight="1" x14ac:dyDescent="0.25">
      <c r="A37" s="157"/>
      <c r="B37" s="55">
        <v>1</v>
      </c>
      <c r="C37" s="83" t="s">
        <v>458</v>
      </c>
      <c r="E37" s="103"/>
      <c r="F37" s="47"/>
      <c r="G37" s="101"/>
    </row>
    <row r="39" spans="1:7" ht="18.75" x14ac:dyDescent="0.25">
      <c r="A39" s="153" t="s">
        <v>125</v>
      </c>
      <c r="B39" s="153"/>
      <c r="C39" s="153"/>
      <c r="E39" s="175" t="s">
        <v>126</v>
      </c>
      <c r="F39" s="176"/>
      <c r="G39" s="177"/>
    </row>
    <row r="40" spans="1:7" ht="31.5" x14ac:dyDescent="0.25">
      <c r="A40" s="52" t="s">
        <v>127</v>
      </c>
      <c r="B40" s="53" t="s">
        <v>128</v>
      </c>
      <c r="C40" s="52" t="s">
        <v>129</v>
      </c>
      <c r="E40" s="52" t="s">
        <v>127</v>
      </c>
      <c r="F40" s="52" t="s">
        <v>130</v>
      </c>
      <c r="G40" s="52" t="s">
        <v>131</v>
      </c>
    </row>
    <row r="41" spans="1:7" ht="15" customHeight="1" x14ac:dyDescent="0.25">
      <c r="A41" s="156" t="s">
        <v>252</v>
      </c>
      <c r="B41" s="27">
        <v>4</v>
      </c>
      <c r="C41" s="56" t="s">
        <v>16</v>
      </c>
      <c r="E41" s="173" t="s">
        <v>252</v>
      </c>
      <c r="F41" s="27">
        <v>3</v>
      </c>
      <c r="G41" s="27" t="s">
        <v>16</v>
      </c>
    </row>
    <row r="42" spans="1:7" ht="15" customHeight="1" x14ac:dyDescent="0.25">
      <c r="A42" s="157"/>
      <c r="B42" s="27">
        <v>3</v>
      </c>
      <c r="C42" s="56" t="s">
        <v>458</v>
      </c>
      <c r="E42" s="173"/>
      <c r="F42" s="27">
        <v>2</v>
      </c>
      <c r="G42" s="27" t="s">
        <v>183</v>
      </c>
    </row>
    <row r="43" spans="1:7" ht="15" customHeight="1" x14ac:dyDescent="0.25">
      <c r="A43" s="157"/>
      <c r="B43" s="27">
        <v>2</v>
      </c>
      <c r="C43" s="83" t="s">
        <v>549</v>
      </c>
      <c r="E43" s="173"/>
      <c r="F43" s="27">
        <v>1</v>
      </c>
      <c r="G43" s="27" t="s">
        <v>265</v>
      </c>
    </row>
    <row r="44" spans="1:7" ht="15" customHeight="1" x14ac:dyDescent="0.25">
      <c r="A44" s="157"/>
      <c r="B44" s="27">
        <v>2</v>
      </c>
      <c r="C44" s="83" t="s">
        <v>22</v>
      </c>
      <c r="E44" s="102"/>
      <c r="F44" s="47"/>
      <c r="G44" s="47"/>
    </row>
    <row r="45" spans="1:7" ht="15" customHeight="1" x14ac:dyDescent="0.25">
      <c r="A45" s="157"/>
      <c r="B45" s="27">
        <v>2</v>
      </c>
      <c r="C45" s="83" t="s">
        <v>183</v>
      </c>
      <c r="E45" s="102"/>
      <c r="F45" s="47"/>
      <c r="G45" s="47"/>
    </row>
    <row r="46" spans="1:7" ht="15" customHeight="1" x14ac:dyDescent="0.25">
      <c r="A46" s="157"/>
      <c r="B46" s="27">
        <v>2</v>
      </c>
      <c r="C46" s="83" t="s">
        <v>265</v>
      </c>
      <c r="E46" s="102"/>
      <c r="F46" s="47"/>
      <c r="G46" s="47"/>
    </row>
    <row r="47" spans="1:7" ht="15" customHeight="1" x14ac:dyDescent="0.25">
      <c r="A47" s="157"/>
      <c r="B47" s="27">
        <v>1</v>
      </c>
      <c r="C47" s="83" t="s">
        <v>469</v>
      </c>
      <c r="E47" s="102"/>
      <c r="F47" s="47"/>
      <c r="G47" s="47"/>
    </row>
    <row r="49" spans="1:7" ht="18.75" x14ac:dyDescent="0.25">
      <c r="A49" s="153" t="s">
        <v>125</v>
      </c>
      <c r="B49" s="153"/>
      <c r="C49" s="153"/>
      <c r="E49" s="104" t="s">
        <v>126</v>
      </c>
      <c r="F49" s="104"/>
      <c r="G49" s="104"/>
    </row>
    <row r="50" spans="1:7" ht="31.5" x14ac:dyDescent="0.25">
      <c r="A50" s="52" t="s">
        <v>127</v>
      </c>
      <c r="B50" s="53" t="s">
        <v>128</v>
      </c>
      <c r="C50" s="52" t="s">
        <v>129</v>
      </c>
      <c r="E50" s="52" t="s">
        <v>127</v>
      </c>
      <c r="F50" s="52" t="s">
        <v>130</v>
      </c>
      <c r="G50" s="52" t="s">
        <v>131</v>
      </c>
    </row>
    <row r="51" spans="1:7" ht="15" customHeight="1" x14ac:dyDescent="0.25">
      <c r="A51" s="154" t="s">
        <v>283</v>
      </c>
      <c r="B51" s="27"/>
      <c r="C51" s="56"/>
      <c r="E51" s="156" t="s">
        <v>283</v>
      </c>
      <c r="F51" s="27"/>
      <c r="G51" s="27"/>
    </row>
    <row r="52" spans="1:7" ht="15" customHeight="1" x14ac:dyDescent="0.25">
      <c r="A52" s="155"/>
      <c r="B52" s="27"/>
      <c r="C52" s="56"/>
      <c r="E52" s="157"/>
      <c r="F52" s="27"/>
      <c r="G52" s="27"/>
    </row>
    <row r="53" spans="1:7" ht="15" customHeight="1" x14ac:dyDescent="0.25">
      <c r="E53" s="157"/>
      <c r="F53" s="27"/>
      <c r="G53" s="27"/>
    </row>
    <row r="54" spans="1:7" x14ac:dyDescent="0.25">
      <c r="E54" s="157"/>
      <c r="F54" s="27"/>
      <c r="G54" s="27"/>
    </row>
    <row r="56" spans="1:7" ht="18.75" x14ac:dyDescent="0.25">
      <c r="A56" s="153" t="s">
        <v>125</v>
      </c>
      <c r="B56" s="153"/>
      <c r="C56" s="153"/>
      <c r="E56" s="104" t="s">
        <v>126</v>
      </c>
      <c r="F56" s="104"/>
      <c r="G56" s="104"/>
    </row>
    <row r="57" spans="1:7" ht="31.5" x14ac:dyDescent="0.25">
      <c r="A57" s="52" t="s">
        <v>127</v>
      </c>
      <c r="B57" s="53" t="s">
        <v>128</v>
      </c>
      <c r="C57" s="52" t="s">
        <v>129</v>
      </c>
      <c r="E57" s="52" t="s">
        <v>127</v>
      </c>
      <c r="F57" s="52" t="s">
        <v>130</v>
      </c>
      <c r="G57" s="52" t="s">
        <v>131</v>
      </c>
    </row>
    <row r="58" spans="1:7" ht="15" customHeight="1" x14ac:dyDescent="0.25">
      <c r="A58" s="156" t="s">
        <v>330</v>
      </c>
      <c r="B58" s="27"/>
      <c r="C58" s="55"/>
      <c r="E58" s="154" t="s">
        <v>330</v>
      </c>
      <c r="F58" s="27"/>
      <c r="G58" s="27"/>
    </row>
    <row r="59" spans="1:7" ht="15" customHeight="1" x14ac:dyDescent="0.25">
      <c r="A59" s="157"/>
      <c r="B59" s="27"/>
      <c r="C59" s="55"/>
      <c r="E59" s="155"/>
      <c r="F59" s="27"/>
      <c r="G59" s="27"/>
    </row>
    <row r="60" spans="1:7" ht="15" customHeight="1" x14ac:dyDescent="0.25">
      <c r="A60" s="157"/>
      <c r="B60" s="55"/>
      <c r="C60" s="55"/>
      <c r="E60" s="155"/>
      <c r="F60" s="27"/>
      <c r="G60" s="27"/>
    </row>
    <row r="61" spans="1:7" ht="15" customHeight="1" x14ac:dyDescent="0.25"/>
    <row r="62" spans="1:7" ht="18.75" x14ac:dyDescent="0.25">
      <c r="A62" s="153" t="s">
        <v>125</v>
      </c>
      <c r="B62" s="153"/>
      <c r="C62" s="153"/>
      <c r="E62" s="104" t="s">
        <v>126</v>
      </c>
      <c r="F62" s="104"/>
      <c r="G62" s="104"/>
    </row>
    <row r="63" spans="1:7" ht="31.5" x14ac:dyDescent="0.25">
      <c r="A63" s="52" t="s">
        <v>127</v>
      </c>
      <c r="B63" s="53" t="s">
        <v>128</v>
      </c>
      <c r="C63" s="52" t="s">
        <v>129</v>
      </c>
      <c r="E63" s="52" t="s">
        <v>127</v>
      </c>
      <c r="F63" s="52" t="s">
        <v>130</v>
      </c>
      <c r="G63" s="52" t="s">
        <v>131</v>
      </c>
    </row>
    <row r="64" spans="1:7" ht="15" customHeight="1" x14ac:dyDescent="0.25">
      <c r="A64" s="156" t="s">
        <v>397</v>
      </c>
      <c r="B64" s="27"/>
      <c r="C64" s="55"/>
      <c r="E64" s="156" t="s">
        <v>397</v>
      </c>
      <c r="F64" s="27"/>
      <c r="G64" s="27"/>
    </row>
    <row r="65" spans="1:7" ht="15" customHeight="1" x14ac:dyDescent="0.25">
      <c r="A65" s="157"/>
      <c r="B65" s="27"/>
      <c r="C65" s="55"/>
      <c r="E65" s="157"/>
      <c r="F65" s="27"/>
      <c r="G65" s="27"/>
    </row>
    <row r="66" spans="1:7" ht="15" customHeight="1" x14ac:dyDescent="0.25">
      <c r="A66" s="157"/>
      <c r="B66" s="55"/>
      <c r="C66" s="55"/>
      <c r="E66" s="157"/>
      <c r="F66" s="27"/>
      <c r="G66" s="27"/>
    </row>
    <row r="67" spans="1:7" ht="15" customHeight="1" x14ac:dyDescent="0.25">
      <c r="A67" s="157"/>
      <c r="B67" s="55"/>
      <c r="C67" s="55"/>
    </row>
    <row r="68" spans="1:7" ht="18.75" x14ac:dyDescent="0.25">
      <c r="E68" s="104" t="s">
        <v>126</v>
      </c>
      <c r="F68" s="104"/>
      <c r="G68" s="104"/>
    </row>
    <row r="69" spans="1:7" ht="18.75" x14ac:dyDescent="0.25">
      <c r="A69" s="153" t="s">
        <v>125</v>
      </c>
      <c r="B69" s="153"/>
      <c r="C69" s="153"/>
      <c r="E69" s="52" t="s">
        <v>127</v>
      </c>
      <c r="F69" s="52" t="s">
        <v>130</v>
      </c>
      <c r="G69" s="52" t="s">
        <v>131</v>
      </c>
    </row>
    <row r="70" spans="1:7" ht="15" customHeight="1" x14ac:dyDescent="0.25">
      <c r="A70" s="52" t="s">
        <v>127</v>
      </c>
      <c r="B70" s="53" t="s">
        <v>128</v>
      </c>
      <c r="C70" s="52" t="s">
        <v>129</v>
      </c>
      <c r="E70" s="158" t="s">
        <v>398</v>
      </c>
      <c r="F70" s="27"/>
      <c r="G70" s="27"/>
    </row>
    <row r="71" spans="1:7" ht="15" customHeight="1" x14ac:dyDescent="0.25">
      <c r="A71" s="160" t="s">
        <v>398</v>
      </c>
      <c r="B71" s="27"/>
      <c r="C71" s="55"/>
      <c r="E71" s="159"/>
      <c r="F71" s="27"/>
      <c r="G71" s="27"/>
    </row>
    <row r="72" spans="1:7" ht="15" customHeight="1" x14ac:dyDescent="0.25">
      <c r="A72" s="161"/>
      <c r="B72" s="27"/>
      <c r="C72" s="55"/>
      <c r="E72" s="159"/>
      <c r="F72" s="27"/>
      <c r="G72" s="27"/>
    </row>
    <row r="73" spans="1:7" ht="15" customHeight="1" x14ac:dyDescent="0.25">
      <c r="A73" s="161"/>
      <c r="B73" s="55"/>
      <c r="C73" s="55"/>
      <c r="E73" s="159"/>
      <c r="F73" s="27"/>
      <c r="G73" s="27"/>
    </row>
    <row r="74" spans="1:7" ht="15" customHeight="1" x14ac:dyDescent="0.25">
      <c r="A74" s="161"/>
      <c r="B74" s="27"/>
      <c r="C74" s="55"/>
      <c r="E74" s="159"/>
      <c r="F74" s="27"/>
      <c r="G74" s="27"/>
    </row>
    <row r="75" spans="1:7" ht="15.75" x14ac:dyDescent="0.25">
      <c r="A75" s="161"/>
      <c r="B75" s="27"/>
      <c r="C75" s="55"/>
      <c r="E75" s="92"/>
      <c r="F75" s="47"/>
      <c r="G75" s="47"/>
    </row>
    <row r="77" spans="1:7" ht="18.75" x14ac:dyDescent="0.25">
      <c r="A77" s="153" t="s">
        <v>125</v>
      </c>
      <c r="B77" s="153"/>
      <c r="C77" s="153"/>
      <c r="E77" s="104" t="s">
        <v>126</v>
      </c>
      <c r="F77" s="104"/>
      <c r="G77" s="104"/>
    </row>
    <row r="78" spans="1:7" ht="15" customHeight="1" x14ac:dyDescent="0.25">
      <c r="A78" s="52" t="s">
        <v>127</v>
      </c>
      <c r="B78" s="53" t="s">
        <v>128</v>
      </c>
      <c r="C78" s="52" t="s">
        <v>129</v>
      </c>
      <c r="E78" s="52" t="s">
        <v>127</v>
      </c>
      <c r="F78" s="52" t="s">
        <v>130</v>
      </c>
      <c r="G78" s="52" t="s">
        <v>131</v>
      </c>
    </row>
    <row r="79" spans="1:7" ht="15" customHeight="1" x14ac:dyDescent="0.25">
      <c r="A79" s="156" t="s">
        <v>399</v>
      </c>
      <c r="B79" s="27"/>
      <c r="C79" s="55"/>
      <c r="E79" s="154" t="s">
        <v>399</v>
      </c>
      <c r="F79" s="27"/>
      <c r="G79" s="27"/>
    </row>
    <row r="80" spans="1:7" ht="15" customHeight="1" x14ac:dyDescent="0.25">
      <c r="A80" s="157"/>
      <c r="B80" s="27"/>
      <c r="C80" s="55"/>
      <c r="E80" s="155"/>
      <c r="F80" s="27"/>
      <c r="G80" s="27"/>
    </row>
    <row r="81" spans="1:7" ht="15" customHeight="1" x14ac:dyDescent="0.25">
      <c r="A81" s="157"/>
      <c r="B81" s="55"/>
      <c r="C81" s="55"/>
      <c r="E81" s="155"/>
      <c r="F81" s="27"/>
      <c r="G81" s="27"/>
    </row>
    <row r="82" spans="1:7" ht="15" customHeight="1" x14ac:dyDescent="0.25">
      <c r="A82" s="157"/>
      <c r="B82" s="27"/>
      <c r="C82" s="55"/>
      <c r="E82" s="155"/>
      <c r="F82" s="27"/>
      <c r="G82" s="27"/>
    </row>
    <row r="84" spans="1:7" ht="18.75" x14ac:dyDescent="0.25">
      <c r="A84" s="153" t="s">
        <v>125</v>
      </c>
      <c r="B84" s="153"/>
      <c r="C84" s="153"/>
      <c r="E84" s="104" t="s">
        <v>126</v>
      </c>
      <c r="F84" s="104"/>
      <c r="G84" s="104"/>
    </row>
    <row r="85" spans="1:7" ht="31.5" x14ac:dyDescent="0.25">
      <c r="A85" s="52" t="s">
        <v>127</v>
      </c>
      <c r="B85" s="53" t="s">
        <v>128</v>
      </c>
      <c r="C85" s="52" t="s">
        <v>129</v>
      </c>
      <c r="E85" s="52" t="s">
        <v>127</v>
      </c>
      <c r="F85" s="52" t="s">
        <v>130</v>
      </c>
      <c r="G85" s="52" t="s">
        <v>131</v>
      </c>
    </row>
    <row r="86" spans="1:7" x14ac:dyDescent="0.25">
      <c r="A86" s="162" t="s">
        <v>431</v>
      </c>
      <c r="B86" s="27"/>
      <c r="C86" s="55"/>
      <c r="E86" s="164" t="s">
        <v>431</v>
      </c>
      <c r="F86" s="27"/>
      <c r="G86" s="27"/>
    </row>
    <row r="87" spans="1:7" x14ac:dyDescent="0.25">
      <c r="A87" s="163"/>
      <c r="B87" s="27"/>
      <c r="C87" s="55"/>
      <c r="E87" s="165"/>
      <c r="F87" s="27"/>
      <c r="G87" s="27"/>
    </row>
    <row r="88" spans="1:7" x14ac:dyDescent="0.25">
      <c r="A88" s="163"/>
      <c r="B88" s="55"/>
      <c r="C88" s="55"/>
      <c r="E88" s="165"/>
      <c r="F88" s="27"/>
      <c r="G88" s="27"/>
    </row>
    <row r="89" spans="1:7" x14ac:dyDescent="0.25">
      <c r="A89" s="163"/>
      <c r="B89" s="27"/>
      <c r="C89" s="55"/>
      <c r="E89" s="165"/>
      <c r="F89" s="27"/>
      <c r="G89" s="27"/>
    </row>
  </sheetData>
  <mergeCells count="38">
    <mergeCell ref="A41:A47"/>
    <mergeCell ref="E41:E43"/>
    <mergeCell ref="A22:C22"/>
    <mergeCell ref="E22:G22"/>
    <mergeCell ref="A39:C39"/>
    <mergeCell ref="A30:C30"/>
    <mergeCell ref="E30:G30"/>
    <mergeCell ref="A24:A27"/>
    <mergeCell ref="E24:E27"/>
    <mergeCell ref="A32:A37"/>
    <mergeCell ref="E32:E36"/>
    <mergeCell ref="E39:G39"/>
    <mergeCell ref="A8:C8"/>
    <mergeCell ref="E8:G8"/>
    <mergeCell ref="E16:E20"/>
    <mergeCell ref="A14:C14"/>
    <mergeCell ref="E14:G14"/>
    <mergeCell ref="A10:A12"/>
    <mergeCell ref="E10:E12"/>
    <mergeCell ref="A16:A20"/>
    <mergeCell ref="A84:C84"/>
    <mergeCell ref="A86:A89"/>
    <mergeCell ref="E86:E89"/>
    <mergeCell ref="A77:C77"/>
    <mergeCell ref="E79:E82"/>
    <mergeCell ref="A79:A82"/>
    <mergeCell ref="A69:C69"/>
    <mergeCell ref="E70:E74"/>
    <mergeCell ref="A71:A75"/>
    <mergeCell ref="A62:C62"/>
    <mergeCell ref="E64:E66"/>
    <mergeCell ref="A64:A67"/>
    <mergeCell ref="A56:C56"/>
    <mergeCell ref="E58:E60"/>
    <mergeCell ref="A58:A60"/>
    <mergeCell ref="A49:C49"/>
    <mergeCell ref="E51:E54"/>
    <mergeCell ref="A51:A52"/>
  </mergeCells>
  <pageMargins left="0.7" right="0.7" top="0.75" bottom="0.75" header="0.3" footer="0.3"/>
  <pageSetup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A0C4E-3DEB-48B0-BC49-558B823AEF24}">
  <sheetPr>
    <tabColor rgb="FFFEDEF7"/>
  </sheetPr>
  <dimension ref="A2:M85"/>
  <sheetViews>
    <sheetView workbookViewId="0">
      <selection activeCell="G26" sqref="G26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9.28515625" bestFit="1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35" t="s">
        <v>81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39" t="s">
        <v>2</v>
      </c>
      <c r="B6" s="7" t="s">
        <v>3</v>
      </c>
      <c r="C6" s="40" t="s">
        <v>4</v>
      </c>
      <c r="D6" s="7" t="s">
        <v>5</v>
      </c>
      <c r="E6" s="40" t="s">
        <v>6</v>
      </c>
      <c r="F6" s="7" t="s">
        <v>7</v>
      </c>
      <c r="G6" s="7" t="s">
        <v>8</v>
      </c>
      <c r="H6" s="40" t="s">
        <v>9</v>
      </c>
      <c r="I6" s="7" t="s">
        <v>10</v>
      </c>
      <c r="J6" s="40" t="s">
        <v>11</v>
      </c>
      <c r="K6" s="7" t="s">
        <v>12</v>
      </c>
      <c r="L6" s="7" t="s">
        <v>80</v>
      </c>
      <c r="M6" s="41" t="s">
        <v>14</v>
      </c>
    </row>
    <row r="7" spans="1:13" ht="15.75" x14ac:dyDescent="0.25">
      <c r="A7" s="178" t="s">
        <v>15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80"/>
    </row>
    <row r="8" spans="1:13" x14ac:dyDescent="0.25">
      <c r="A8" s="12">
        <v>1</v>
      </c>
      <c r="B8" s="12" t="s">
        <v>265</v>
      </c>
      <c r="C8" s="12" t="s">
        <v>446</v>
      </c>
      <c r="D8" s="12">
        <v>313918</v>
      </c>
      <c r="E8" s="12" t="s">
        <v>24</v>
      </c>
      <c r="F8" s="12" t="s">
        <v>442</v>
      </c>
      <c r="G8" s="12" t="s">
        <v>20</v>
      </c>
      <c r="H8" s="12" t="s">
        <v>19</v>
      </c>
      <c r="I8" s="13">
        <v>46045</v>
      </c>
      <c r="J8" s="13">
        <v>46046</v>
      </c>
      <c r="K8" s="14">
        <v>35000</v>
      </c>
      <c r="L8" s="42"/>
      <c r="M8" s="14"/>
    </row>
    <row r="9" spans="1:13" x14ac:dyDescent="0.25">
      <c r="A9" s="12">
        <v>2</v>
      </c>
      <c r="B9" s="12" t="s">
        <v>16</v>
      </c>
      <c r="C9" s="12" t="s">
        <v>443</v>
      </c>
      <c r="D9" s="12">
        <v>314165</v>
      </c>
      <c r="E9" s="12" t="s">
        <v>23</v>
      </c>
      <c r="F9" s="12" t="s">
        <v>445</v>
      </c>
      <c r="G9" s="12" t="s">
        <v>18</v>
      </c>
      <c r="H9" s="12" t="s">
        <v>19</v>
      </c>
      <c r="I9" s="13">
        <v>46246</v>
      </c>
      <c r="J9" s="13">
        <v>46048</v>
      </c>
      <c r="K9" s="14">
        <v>45000</v>
      </c>
      <c r="L9" s="42"/>
      <c r="M9" s="12"/>
    </row>
    <row r="10" spans="1:13" x14ac:dyDescent="0.25">
      <c r="A10" s="12">
        <v>3</v>
      </c>
      <c r="B10" s="12" t="s">
        <v>183</v>
      </c>
      <c r="C10" s="12" t="s">
        <v>447</v>
      </c>
      <c r="D10" s="12">
        <v>313761</v>
      </c>
      <c r="E10" s="12" t="s">
        <v>23</v>
      </c>
      <c r="F10" s="12" t="s">
        <v>340</v>
      </c>
      <c r="G10" s="12" t="s">
        <v>18</v>
      </c>
      <c r="H10" s="12" t="s">
        <v>19</v>
      </c>
      <c r="I10" s="13">
        <v>46041</v>
      </c>
      <c r="J10" s="13">
        <v>46049</v>
      </c>
      <c r="K10" s="14">
        <v>40000</v>
      </c>
      <c r="L10" s="26"/>
      <c r="M10" s="12"/>
    </row>
    <row r="11" spans="1:13" x14ac:dyDescent="0.25">
      <c r="A11" s="12">
        <v>4</v>
      </c>
      <c r="B11" s="12" t="s">
        <v>16</v>
      </c>
      <c r="C11" s="12" t="s">
        <v>448</v>
      </c>
      <c r="D11" s="12">
        <v>314612</v>
      </c>
      <c r="E11" s="12" t="s">
        <v>41</v>
      </c>
      <c r="F11" s="12" t="s">
        <v>449</v>
      </c>
      <c r="G11" s="12" t="s">
        <v>18</v>
      </c>
      <c r="H11" s="12" t="s">
        <v>19</v>
      </c>
      <c r="I11" s="13">
        <v>46050</v>
      </c>
      <c r="J11" s="13">
        <v>46051</v>
      </c>
      <c r="K11" s="14">
        <v>25000</v>
      </c>
      <c r="L11" s="26"/>
      <c r="M11" s="12"/>
    </row>
    <row r="12" spans="1:13" x14ac:dyDescent="0.25">
      <c r="A12" s="12">
        <v>5</v>
      </c>
      <c r="B12" s="12" t="s">
        <v>22</v>
      </c>
      <c r="C12" s="12" t="s">
        <v>450</v>
      </c>
      <c r="D12" s="12">
        <v>315038</v>
      </c>
      <c r="E12" s="12" t="s">
        <v>41</v>
      </c>
      <c r="F12" s="12" t="s">
        <v>461</v>
      </c>
      <c r="G12" s="12" t="s">
        <v>20</v>
      </c>
      <c r="H12" s="12" t="s">
        <v>19</v>
      </c>
      <c r="I12" s="13">
        <v>45502</v>
      </c>
      <c r="J12" s="13">
        <v>46053</v>
      </c>
      <c r="K12" s="14">
        <v>95000</v>
      </c>
      <c r="L12" s="26"/>
      <c r="M12" s="12"/>
    </row>
    <row r="13" spans="1:13" x14ac:dyDescent="0.25">
      <c r="A13" s="12">
        <v>6</v>
      </c>
      <c r="B13" s="12" t="s">
        <v>22</v>
      </c>
      <c r="C13" s="12" t="s">
        <v>453</v>
      </c>
      <c r="D13" s="12">
        <v>315049</v>
      </c>
      <c r="E13" s="12" t="s">
        <v>460</v>
      </c>
      <c r="F13" s="12" t="s">
        <v>461</v>
      </c>
      <c r="G13" s="12" t="s">
        <v>20</v>
      </c>
      <c r="H13" s="12" t="s">
        <v>21</v>
      </c>
      <c r="I13" s="13">
        <v>45502</v>
      </c>
      <c r="J13" s="13">
        <v>46053</v>
      </c>
      <c r="K13" s="14">
        <v>750</v>
      </c>
      <c r="L13" s="26"/>
      <c r="M13" s="12"/>
    </row>
    <row r="14" spans="1:13" x14ac:dyDescent="0.25">
      <c r="A14" s="12">
        <v>7</v>
      </c>
      <c r="B14" s="12" t="s">
        <v>22</v>
      </c>
      <c r="C14" s="12" t="s">
        <v>454</v>
      </c>
      <c r="D14" s="12">
        <v>315172</v>
      </c>
      <c r="E14" s="12" t="s">
        <v>23</v>
      </c>
      <c r="F14" s="12" t="s">
        <v>457</v>
      </c>
      <c r="G14" s="12" t="s">
        <v>18</v>
      </c>
      <c r="H14" s="12" t="s">
        <v>19</v>
      </c>
      <c r="I14" s="13">
        <v>46048</v>
      </c>
      <c r="J14" s="13">
        <v>46053</v>
      </c>
      <c r="K14" s="14">
        <v>68000</v>
      </c>
      <c r="L14" s="24"/>
      <c r="M14" s="24"/>
    </row>
    <row r="15" spans="1:13" x14ac:dyDescent="0.25">
      <c r="A15" s="12">
        <v>8</v>
      </c>
      <c r="B15" s="12" t="s">
        <v>16</v>
      </c>
      <c r="C15" s="12" t="s">
        <v>456</v>
      </c>
      <c r="D15" s="12">
        <v>315238</v>
      </c>
      <c r="E15" s="12" t="s">
        <v>17</v>
      </c>
      <c r="F15" s="12" t="s">
        <v>262</v>
      </c>
      <c r="G15" s="12" t="s">
        <v>18</v>
      </c>
      <c r="H15" s="12" t="s">
        <v>19</v>
      </c>
      <c r="I15" s="13">
        <v>46052</v>
      </c>
      <c r="J15" s="13">
        <v>46053</v>
      </c>
      <c r="K15" s="14">
        <v>20000</v>
      </c>
      <c r="L15" s="24"/>
      <c r="M15" s="24"/>
    </row>
    <row r="16" spans="1:13" x14ac:dyDescent="0.25">
      <c r="I16" s="5"/>
      <c r="J16" s="5"/>
    </row>
    <row r="17" spans="9:10" x14ac:dyDescent="0.25">
      <c r="I17" s="5"/>
      <c r="J17" s="5"/>
    </row>
    <row r="18" spans="9:10" x14ac:dyDescent="0.25">
      <c r="I18" s="5"/>
      <c r="J18" s="5"/>
    </row>
    <row r="19" spans="9:10" x14ac:dyDescent="0.25">
      <c r="I19" s="5"/>
      <c r="J19" s="5"/>
    </row>
    <row r="20" spans="9:10" x14ac:dyDescent="0.25">
      <c r="I20" s="5"/>
      <c r="J20" s="5"/>
    </row>
    <row r="21" spans="9:10" x14ac:dyDescent="0.25">
      <c r="I21" s="5"/>
      <c r="J21" s="5"/>
    </row>
    <row r="22" spans="9:10" x14ac:dyDescent="0.25">
      <c r="I22" s="5"/>
      <c r="J22" s="5"/>
    </row>
    <row r="23" spans="9:10" x14ac:dyDescent="0.25">
      <c r="I23" s="5"/>
      <c r="J23" s="5"/>
    </row>
    <row r="24" spans="9:10" x14ac:dyDescent="0.25">
      <c r="I24" s="5"/>
      <c r="J24" s="5"/>
    </row>
    <row r="25" spans="9:10" x14ac:dyDescent="0.25">
      <c r="I25" s="5"/>
      <c r="J25" s="5"/>
    </row>
    <row r="26" spans="9:10" x14ac:dyDescent="0.25">
      <c r="I26" s="5"/>
      <c r="J26" s="5"/>
    </row>
    <row r="27" spans="9:10" x14ac:dyDescent="0.25">
      <c r="I27" s="5"/>
      <c r="J27" s="5"/>
    </row>
    <row r="28" spans="9:10" x14ac:dyDescent="0.25">
      <c r="I28" s="5"/>
      <c r="J28" s="5"/>
    </row>
    <row r="29" spans="9:10" x14ac:dyDescent="0.25">
      <c r="I29" s="5"/>
      <c r="J29" s="5"/>
    </row>
    <row r="30" spans="9:10" x14ac:dyDescent="0.25">
      <c r="I30" s="5"/>
      <c r="J30" s="5"/>
    </row>
    <row r="31" spans="9:10" x14ac:dyDescent="0.25">
      <c r="I31" s="5"/>
      <c r="J31" s="5"/>
    </row>
    <row r="32" spans="9:10" x14ac:dyDescent="0.25">
      <c r="I32" s="5"/>
      <c r="J32" s="5"/>
    </row>
    <row r="33" spans="9:10" x14ac:dyDescent="0.25">
      <c r="I33" s="5"/>
      <c r="J33" s="5"/>
    </row>
    <row r="34" spans="9:10" x14ac:dyDescent="0.25">
      <c r="I34" s="5"/>
      <c r="J34" s="5"/>
    </row>
    <row r="35" spans="9:10" x14ac:dyDescent="0.25">
      <c r="I35" s="5"/>
      <c r="J35" s="5"/>
    </row>
    <row r="36" spans="9:10" x14ac:dyDescent="0.25">
      <c r="I36" s="5"/>
      <c r="J36" s="5"/>
    </row>
    <row r="37" spans="9:10" x14ac:dyDescent="0.25">
      <c r="I37" s="5"/>
      <c r="J37" s="5"/>
    </row>
    <row r="38" spans="9:10" x14ac:dyDescent="0.25">
      <c r="I38" s="5"/>
      <c r="J38" s="5"/>
    </row>
    <row r="39" spans="9:10" x14ac:dyDescent="0.25">
      <c r="I39" s="5"/>
      <c r="J39" s="5"/>
    </row>
    <row r="40" spans="9:10" x14ac:dyDescent="0.25">
      <c r="I40" s="5"/>
      <c r="J40" s="5"/>
    </row>
    <row r="41" spans="9:10" x14ac:dyDescent="0.25">
      <c r="I41" s="5"/>
      <c r="J41" s="5"/>
    </row>
    <row r="42" spans="9:10" x14ac:dyDescent="0.25">
      <c r="I42" s="5"/>
      <c r="J42" s="5"/>
    </row>
    <row r="43" spans="9:10" x14ac:dyDescent="0.25">
      <c r="I43" s="5"/>
      <c r="J43" s="5"/>
    </row>
    <row r="44" spans="9:10" x14ac:dyDescent="0.25">
      <c r="I44" s="5"/>
      <c r="J44" s="5"/>
    </row>
    <row r="45" spans="9:10" x14ac:dyDescent="0.25">
      <c r="I45" s="5"/>
      <c r="J45" s="5"/>
    </row>
    <row r="46" spans="9:10" x14ac:dyDescent="0.25">
      <c r="I46" s="5"/>
      <c r="J46" s="5"/>
    </row>
    <row r="47" spans="9:10" x14ac:dyDescent="0.25">
      <c r="I47" s="5"/>
      <c r="J47" s="5"/>
    </row>
    <row r="48" spans="9:10" x14ac:dyDescent="0.25">
      <c r="I48" s="5"/>
      <c r="J48" s="5"/>
    </row>
    <row r="49" spans="9:10" x14ac:dyDescent="0.25">
      <c r="I49" s="5"/>
      <c r="J49" s="5"/>
    </row>
    <row r="50" spans="9:10" x14ac:dyDescent="0.25">
      <c r="I50" s="5"/>
      <c r="J50" s="5"/>
    </row>
    <row r="51" spans="9:10" x14ac:dyDescent="0.25">
      <c r="I51" s="5"/>
      <c r="J51" s="5"/>
    </row>
    <row r="52" spans="9:10" x14ac:dyDescent="0.25">
      <c r="I52" s="5"/>
      <c r="J52" s="5"/>
    </row>
    <row r="53" spans="9:10" x14ac:dyDescent="0.25">
      <c r="I53" s="5"/>
      <c r="J53" s="5"/>
    </row>
    <row r="54" spans="9:10" x14ac:dyDescent="0.25">
      <c r="I54" s="5"/>
      <c r="J54" s="5"/>
    </row>
    <row r="55" spans="9:10" x14ac:dyDescent="0.25">
      <c r="I55" s="5"/>
      <c r="J55" s="5"/>
    </row>
    <row r="56" spans="9:10" x14ac:dyDescent="0.25">
      <c r="I56" s="5"/>
      <c r="J56" s="5"/>
    </row>
    <row r="57" spans="9:10" x14ac:dyDescent="0.25">
      <c r="I57" s="5"/>
      <c r="J57" s="5"/>
    </row>
    <row r="58" spans="9:10" x14ac:dyDescent="0.25">
      <c r="I58" s="5"/>
      <c r="J58" s="5"/>
    </row>
    <row r="59" spans="9:10" x14ac:dyDescent="0.25">
      <c r="I59" s="5"/>
      <c r="J59" s="5"/>
    </row>
    <row r="60" spans="9:10" x14ac:dyDescent="0.25">
      <c r="I60" s="5"/>
      <c r="J60" s="5"/>
    </row>
    <row r="61" spans="9:10" x14ac:dyDescent="0.25">
      <c r="I61" s="5"/>
      <c r="J61" s="5"/>
    </row>
    <row r="62" spans="9:10" x14ac:dyDescent="0.25">
      <c r="I62" s="5"/>
      <c r="J62" s="5"/>
    </row>
    <row r="63" spans="9:10" x14ac:dyDescent="0.25">
      <c r="I63" s="5"/>
      <c r="J63" s="5"/>
    </row>
    <row r="64" spans="9:10" x14ac:dyDescent="0.25">
      <c r="I64" s="5"/>
      <c r="J64" s="5"/>
    </row>
    <row r="65" spans="9:10" x14ac:dyDescent="0.25">
      <c r="I65" s="5"/>
      <c r="J65" s="5"/>
    </row>
    <row r="66" spans="9:10" x14ac:dyDescent="0.25">
      <c r="I66" s="5"/>
      <c r="J66" s="5"/>
    </row>
    <row r="67" spans="9:10" x14ac:dyDescent="0.25">
      <c r="I67" s="5"/>
      <c r="J67" s="5"/>
    </row>
    <row r="68" spans="9:10" ht="15.75" x14ac:dyDescent="0.25">
      <c r="I68" s="38"/>
      <c r="J68" s="38"/>
    </row>
    <row r="69" spans="9:10" ht="15.75" x14ac:dyDescent="0.25">
      <c r="I69" s="38"/>
      <c r="J69" s="38"/>
    </row>
    <row r="70" spans="9:10" ht="15.75" x14ac:dyDescent="0.25">
      <c r="I70" s="38"/>
      <c r="J70" s="38"/>
    </row>
    <row r="71" spans="9:10" ht="15.75" x14ac:dyDescent="0.25">
      <c r="I71" s="38"/>
      <c r="J71" s="38"/>
    </row>
    <row r="72" spans="9:10" ht="15.75" x14ac:dyDescent="0.25">
      <c r="I72" s="38"/>
      <c r="J72" s="38"/>
    </row>
    <row r="73" spans="9:10" ht="15.75" x14ac:dyDescent="0.25">
      <c r="I73" s="38"/>
      <c r="J73" s="38"/>
    </row>
    <row r="74" spans="9:10" ht="15.75" x14ac:dyDescent="0.25">
      <c r="I74" s="38"/>
      <c r="J74" s="38"/>
    </row>
    <row r="75" spans="9:10" ht="15.75" x14ac:dyDescent="0.25">
      <c r="I75" s="38"/>
      <c r="J75" s="38"/>
    </row>
    <row r="76" spans="9:10" ht="15.75" x14ac:dyDescent="0.25">
      <c r="I76" s="38"/>
      <c r="J76" s="38"/>
    </row>
    <row r="77" spans="9:10" ht="15.75" x14ac:dyDescent="0.25">
      <c r="I77" s="38"/>
      <c r="J77" s="38"/>
    </row>
    <row r="78" spans="9:10" ht="15.75" x14ac:dyDescent="0.25">
      <c r="I78" s="38"/>
      <c r="J78" s="38"/>
    </row>
    <row r="79" spans="9:10" ht="15.75" x14ac:dyDescent="0.25">
      <c r="I79" s="38"/>
      <c r="J79" s="38"/>
    </row>
    <row r="80" spans="9:10" ht="15.75" x14ac:dyDescent="0.25">
      <c r="I80" s="38"/>
      <c r="J80" s="38"/>
    </row>
    <row r="81" spans="9:10" ht="15.75" x14ac:dyDescent="0.25">
      <c r="I81" s="38"/>
      <c r="J81" s="38"/>
    </row>
    <row r="82" spans="9:10" ht="15.75" x14ac:dyDescent="0.25">
      <c r="I82" s="38"/>
      <c r="J82" s="38"/>
    </row>
    <row r="83" spans="9:10" ht="15.75" x14ac:dyDescent="0.25">
      <c r="I83" s="38"/>
      <c r="J83" s="38"/>
    </row>
    <row r="84" spans="9:10" ht="15.75" x14ac:dyDescent="0.25">
      <c r="I84" s="38"/>
      <c r="J84" s="38"/>
    </row>
    <row r="85" spans="9:10" ht="15.75" x14ac:dyDescent="0.25">
      <c r="I85" s="38"/>
      <c r="J85" s="38"/>
    </row>
  </sheetData>
  <mergeCells count="2">
    <mergeCell ref="A3:M3"/>
    <mergeCell ref="A7:M7"/>
  </mergeCells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0416-82B4-4E39-8526-DB74F0A14537}">
  <sheetPr>
    <tabColor rgb="FFFEDEF7"/>
  </sheetPr>
  <dimension ref="A2:M75"/>
  <sheetViews>
    <sheetView workbookViewId="0">
      <selection activeCell="A18" sqref="A18:XFD18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35" t="s">
        <v>81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39" t="s">
        <v>2</v>
      </c>
      <c r="B6" s="7" t="s">
        <v>3</v>
      </c>
      <c r="C6" s="40" t="s">
        <v>4</v>
      </c>
      <c r="D6" s="7" t="s">
        <v>5</v>
      </c>
      <c r="E6" s="40" t="s">
        <v>6</v>
      </c>
      <c r="F6" s="7" t="s">
        <v>7</v>
      </c>
      <c r="G6" s="7" t="s">
        <v>8</v>
      </c>
      <c r="H6" s="40" t="s">
        <v>9</v>
      </c>
      <c r="I6" s="7" t="s">
        <v>10</v>
      </c>
      <c r="J6" s="40" t="s">
        <v>11</v>
      </c>
      <c r="K6" s="7" t="s">
        <v>12</v>
      </c>
      <c r="L6" s="7" t="s">
        <v>80</v>
      </c>
      <c r="M6" s="41" t="s">
        <v>14</v>
      </c>
    </row>
    <row r="7" spans="1:13" ht="15.75" x14ac:dyDescent="0.25">
      <c r="A7" s="178" t="s">
        <v>31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80"/>
    </row>
    <row r="8" spans="1:13" x14ac:dyDescent="0.25">
      <c r="A8" s="15">
        <v>1</v>
      </c>
      <c r="B8" s="15" t="s">
        <v>458</v>
      </c>
      <c r="C8" s="15" t="s">
        <v>462</v>
      </c>
      <c r="D8" s="15">
        <v>315586</v>
      </c>
      <c r="E8" s="15" t="s">
        <v>23</v>
      </c>
      <c r="F8" s="15" t="s">
        <v>185</v>
      </c>
      <c r="G8" s="15" t="s">
        <v>20</v>
      </c>
      <c r="H8" s="15" t="s">
        <v>19</v>
      </c>
      <c r="I8" s="16">
        <v>46055</v>
      </c>
      <c r="J8" s="16">
        <v>46057</v>
      </c>
      <c r="K8" s="17">
        <v>62500</v>
      </c>
      <c r="L8" s="18"/>
      <c r="M8" s="15" t="s">
        <v>459</v>
      </c>
    </row>
    <row r="9" spans="1:13" x14ac:dyDescent="0.25">
      <c r="A9" s="15">
        <v>2</v>
      </c>
      <c r="B9" s="15" t="s">
        <v>469</v>
      </c>
      <c r="C9" s="15" t="s">
        <v>470</v>
      </c>
      <c r="D9" s="15">
        <v>316190</v>
      </c>
      <c r="E9" s="15" t="s">
        <v>43</v>
      </c>
      <c r="F9" s="15" t="s">
        <v>471</v>
      </c>
      <c r="G9" s="15" t="s">
        <v>20</v>
      </c>
      <c r="H9" s="15" t="s">
        <v>19</v>
      </c>
      <c r="I9" s="16">
        <v>46055</v>
      </c>
      <c r="J9" s="16">
        <v>46063</v>
      </c>
      <c r="K9" s="17">
        <v>15000</v>
      </c>
      <c r="L9" s="15"/>
      <c r="M9" s="15"/>
    </row>
    <row r="10" spans="1:13" x14ac:dyDescent="0.25">
      <c r="A10" s="15">
        <v>3</v>
      </c>
      <c r="B10" s="15" t="s">
        <v>458</v>
      </c>
      <c r="C10" s="15" t="s">
        <v>472</v>
      </c>
      <c r="D10" s="15">
        <v>316375</v>
      </c>
      <c r="E10" s="15" t="s">
        <v>23</v>
      </c>
      <c r="F10" s="15" t="s">
        <v>214</v>
      </c>
      <c r="G10" s="15" t="s">
        <v>20</v>
      </c>
      <c r="H10" s="15" t="s">
        <v>19</v>
      </c>
      <c r="I10" s="16">
        <v>46060</v>
      </c>
      <c r="J10" s="16">
        <v>46064</v>
      </c>
      <c r="K10" s="17">
        <v>85000</v>
      </c>
      <c r="L10" s="15"/>
      <c r="M10" s="15"/>
    </row>
    <row r="11" spans="1:13" x14ac:dyDescent="0.25">
      <c r="A11" s="49">
        <v>4</v>
      </c>
      <c r="B11" s="49" t="s">
        <v>469</v>
      </c>
      <c r="C11" s="49" t="s">
        <v>473</v>
      </c>
      <c r="D11" s="34">
        <v>316567</v>
      </c>
      <c r="E11" s="49" t="s">
        <v>17</v>
      </c>
      <c r="F11" s="49" t="s">
        <v>474</v>
      </c>
      <c r="G11" s="49" t="s">
        <v>20</v>
      </c>
      <c r="H11" s="49" t="s">
        <v>19</v>
      </c>
      <c r="I11" s="13">
        <v>46064</v>
      </c>
      <c r="J11" s="13">
        <v>46064</v>
      </c>
      <c r="K11" s="14">
        <v>28500</v>
      </c>
      <c r="L11" s="42"/>
      <c r="M11" s="14"/>
    </row>
    <row r="12" spans="1:13" x14ac:dyDescent="0.25">
      <c r="A12" s="12">
        <v>5</v>
      </c>
      <c r="B12" s="12" t="s">
        <v>458</v>
      </c>
      <c r="C12" s="12" t="s">
        <v>475</v>
      </c>
      <c r="D12" s="12">
        <v>316559</v>
      </c>
      <c r="E12" s="12" t="s">
        <v>24</v>
      </c>
      <c r="F12" s="12" t="s">
        <v>476</v>
      </c>
      <c r="G12" s="12" t="s">
        <v>20</v>
      </c>
      <c r="H12" s="12" t="s">
        <v>19</v>
      </c>
      <c r="I12" s="13">
        <v>46060</v>
      </c>
      <c r="J12" s="13">
        <v>46064</v>
      </c>
      <c r="K12" s="14">
        <v>48000</v>
      </c>
      <c r="L12" s="42"/>
      <c r="M12" s="12"/>
    </row>
    <row r="13" spans="1:13" x14ac:dyDescent="0.25">
      <c r="A13" s="12">
        <v>6</v>
      </c>
      <c r="B13" s="12" t="s">
        <v>16</v>
      </c>
      <c r="C13" s="12" t="s">
        <v>477</v>
      </c>
      <c r="D13" s="12">
        <v>316583</v>
      </c>
      <c r="E13" s="12" t="s">
        <v>24</v>
      </c>
      <c r="F13" s="12" t="s">
        <v>478</v>
      </c>
      <c r="G13" s="12" t="s">
        <v>20</v>
      </c>
      <c r="H13" s="12" t="s">
        <v>19</v>
      </c>
      <c r="I13" s="13">
        <v>46057</v>
      </c>
      <c r="J13" s="13">
        <v>46064</v>
      </c>
      <c r="K13" s="14">
        <v>75000</v>
      </c>
      <c r="L13" s="26"/>
      <c r="M13" s="12"/>
    </row>
    <row r="14" spans="1:13" x14ac:dyDescent="0.25">
      <c r="A14" s="12">
        <v>7</v>
      </c>
      <c r="B14" s="12" t="s">
        <v>16</v>
      </c>
      <c r="C14" s="12" t="s">
        <v>479</v>
      </c>
      <c r="D14" s="12">
        <v>316534</v>
      </c>
      <c r="E14" s="12" t="s">
        <v>17</v>
      </c>
      <c r="F14" s="12" t="s">
        <v>168</v>
      </c>
      <c r="G14" s="12" t="s">
        <v>20</v>
      </c>
      <c r="H14" s="12" t="s">
        <v>19</v>
      </c>
      <c r="I14" s="13">
        <v>46060</v>
      </c>
      <c r="J14" s="13">
        <v>46064</v>
      </c>
      <c r="K14" s="14">
        <v>40000</v>
      </c>
      <c r="L14" s="26"/>
      <c r="M14" s="12"/>
    </row>
    <row r="15" spans="1:13" x14ac:dyDescent="0.25">
      <c r="A15" s="12">
        <v>8</v>
      </c>
      <c r="B15" s="12" t="s">
        <v>16</v>
      </c>
      <c r="C15" s="12" t="s">
        <v>480</v>
      </c>
      <c r="D15" s="12">
        <v>316518</v>
      </c>
      <c r="E15" s="12" t="s">
        <v>17</v>
      </c>
      <c r="F15" s="12" t="s">
        <v>481</v>
      </c>
      <c r="G15" s="12" t="s">
        <v>20</v>
      </c>
      <c r="H15" s="12" t="s">
        <v>19</v>
      </c>
      <c r="I15" s="13">
        <v>46060</v>
      </c>
      <c r="J15" s="13">
        <v>46064</v>
      </c>
      <c r="K15" s="14">
        <v>60000</v>
      </c>
      <c r="L15" s="26" t="s">
        <v>482</v>
      </c>
      <c r="M15" s="12"/>
    </row>
    <row r="16" spans="1:13" x14ac:dyDescent="0.25">
      <c r="A16" s="12">
        <v>9</v>
      </c>
      <c r="B16" s="12" t="s">
        <v>458</v>
      </c>
      <c r="C16" s="12" t="s">
        <v>485</v>
      </c>
      <c r="D16" s="12">
        <v>316910</v>
      </c>
      <c r="E16" s="12" t="s">
        <v>17</v>
      </c>
      <c r="F16" s="12" t="s">
        <v>486</v>
      </c>
      <c r="G16" s="12" t="s">
        <v>18</v>
      </c>
      <c r="H16" s="12" t="s">
        <v>19</v>
      </c>
      <c r="I16" s="13">
        <v>46066</v>
      </c>
      <c r="J16" s="13">
        <v>46067</v>
      </c>
      <c r="K16" s="14">
        <v>48000</v>
      </c>
      <c r="L16" s="26"/>
      <c r="M16" s="12"/>
    </row>
    <row r="17" spans="1:13" x14ac:dyDescent="0.25">
      <c r="A17" s="12">
        <v>10</v>
      </c>
      <c r="B17" s="12" t="s">
        <v>265</v>
      </c>
      <c r="C17" s="12" t="s">
        <v>488</v>
      </c>
      <c r="D17" s="12">
        <v>316968</v>
      </c>
      <c r="E17" s="12" t="s">
        <v>41</v>
      </c>
      <c r="F17" s="12" t="s">
        <v>489</v>
      </c>
      <c r="G17" s="12" t="s">
        <v>18</v>
      </c>
      <c r="H17" s="12" t="s">
        <v>19</v>
      </c>
      <c r="I17" s="13">
        <v>46066</v>
      </c>
      <c r="J17" s="13">
        <v>46067</v>
      </c>
      <c r="K17" s="14">
        <v>35000</v>
      </c>
      <c r="L17" s="26"/>
      <c r="M17" s="12"/>
    </row>
    <row r="18" spans="1:13" x14ac:dyDescent="0.25">
      <c r="A18" s="12">
        <v>11</v>
      </c>
      <c r="B18" s="12" t="s">
        <v>469</v>
      </c>
      <c r="C18" s="12" t="s">
        <v>505</v>
      </c>
      <c r="D18" s="12">
        <v>317103</v>
      </c>
      <c r="E18" s="12" t="s">
        <v>51</v>
      </c>
      <c r="F18" s="12" t="s">
        <v>511</v>
      </c>
      <c r="G18" s="12" t="s">
        <v>18</v>
      </c>
      <c r="H18" s="12" t="s">
        <v>19</v>
      </c>
      <c r="I18" s="13">
        <v>46071</v>
      </c>
      <c r="J18" s="13">
        <v>46072</v>
      </c>
      <c r="K18" s="14">
        <v>25000</v>
      </c>
      <c r="L18" s="26" t="s">
        <v>67</v>
      </c>
      <c r="M18" s="12"/>
    </row>
    <row r="19" spans="1:13" x14ac:dyDescent="0.25">
      <c r="A19" s="12">
        <v>12</v>
      </c>
      <c r="B19" s="12" t="s">
        <v>265</v>
      </c>
      <c r="C19" s="12" t="s">
        <v>506</v>
      </c>
      <c r="D19" s="12">
        <v>317324</v>
      </c>
      <c r="E19" s="12" t="s">
        <v>150</v>
      </c>
      <c r="F19" s="12" t="s">
        <v>207</v>
      </c>
      <c r="G19" s="12" t="s">
        <v>18</v>
      </c>
      <c r="H19" s="12" t="s">
        <v>21</v>
      </c>
      <c r="I19" s="13">
        <v>46072</v>
      </c>
      <c r="J19" s="13">
        <v>46072</v>
      </c>
      <c r="K19" s="14">
        <v>100</v>
      </c>
      <c r="L19" s="26"/>
      <c r="M19" s="12"/>
    </row>
    <row r="20" spans="1:13" x14ac:dyDescent="0.25">
      <c r="A20" s="96">
        <v>13</v>
      </c>
      <c r="B20" s="96" t="s">
        <v>16</v>
      </c>
      <c r="C20" s="96" t="s">
        <v>507</v>
      </c>
      <c r="D20" s="96">
        <v>317320</v>
      </c>
      <c r="E20" s="96" t="s">
        <v>23</v>
      </c>
      <c r="F20" s="96" t="s">
        <v>514</v>
      </c>
      <c r="G20" s="96"/>
      <c r="H20" s="96"/>
      <c r="I20" s="97">
        <v>46064</v>
      </c>
      <c r="J20" s="97">
        <v>46072</v>
      </c>
      <c r="K20" s="98">
        <v>39700</v>
      </c>
      <c r="L20" s="99"/>
      <c r="M20" s="96" t="s">
        <v>513</v>
      </c>
    </row>
    <row r="21" spans="1:13" x14ac:dyDescent="0.25">
      <c r="A21" s="96">
        <v>14</v>
      </c>
      <c r="B21" s="96" t="s">
        <v>458</v>
      </c>
      <c r="C21" s="96" t="s">
        <v>508</v>
      </c>
      <c r="D21" s="96">
        <v>318522</v>
      </c>
      <c r="E21" s="96" t="s">
        <v>17</v>
      </c>
      <c r="F21" s="96" t="s">
        <v>512</v>
      </c>
      <c r="G21" s="96" t="s">
        <v>20</v>
      </c>
      <c r="H21" s="96" t="s">
        <v>19</v>
      </c>
      <c r="I21" s="97">
        <v>46079</v>
      </c>
      <c r="J21" s="97">
        <v>46080</v>
      </c>
      <c r="K21" s="98">
        <v>115000</v>
      </c>
      <c r="L21" s="99"/>
      <c r="M21" s="96" t="s">
        <v>513</v>
      </c>
    </row>
    <row r="22" spans="1:13" x14ac:dyDescent="0.25">
      <c r="A22" s="12">
        <v>15</v>
      </c>
      <c r="B22" s="12" t="s">
        <v>22</v>
      </c>
      <c r="C22" s="12" t="s">
        <v>509</v>
      </c>
      <c r="D22" s="12">
        <v>318555</v>
      </c>
      <c r="E22" s="12" t="s">
        <v>41</v>
      </c>
      <c r="F22" s="12" t="s">
        <v>56</v>
      </c>
      <c r="G22" s="12" t="s">
        <v>20</v>
      </c>
      <c r="H22" s="12" t="s">
        <v>21</v>
      </c>
      <c r="I22" s="13">
        <v>46080</v>
      </c>
      <c r="J22" s="13">
        <v>46080</v>
      </c>
      <c r="K22" s="14">
        <v>175</v>
      </c>
      <c r="L22" s="26"/>
      <c r="M22" s="12"/>
    </row>
    <row r="23" spans="1:13" x14ac:dyDescent="0.25">
      <c r="A23" s="12">
        <v>16</v>
      </c>
      <c r="B23" s="12" t="s">
        <v>22</v>
      </c>
      <c r="C23" s="12" t="s">
        <v>510</v>
      </c>
      <c r="D23" s="12">
        <v>318557</v>
      </c>
      <c r="E23" s="12" t="s">
        <v>41</v>
      </c>
      <c r="F23" s="12" t="s">
        <v>56</v>
      </c>
      <c r="G23" s="12" t="s">
        <v>20</v>
      </c>
      <c r="H23" s="12" t="s">
        <v>21</v>
      </c>
      <c r="I23" s="13">
        <v>46080</v>
      </c>
      <c r="J23" s="13">
        <v>46080</v>
      </c>
      <c r="K23" s="14">
        <v>175</v>
      </c>
      <c r="L23" s="26"/>
      <c r="M23" s="12"/>
    </row>
    <row r="24" spans="1:13" x14ac:dyDescent="0.25">
      <c r="A24" s="12">
        <v>17</v>
      </c>
      <c r="B24" s="12" t="s">
        <v>16</v>
      </c>
      <c r="C24" s="12" t="s">
        <v>504</v>
      </c>
      <c r="D24" s="12">
        <v>318595</v>
      </c>
      <c r="E24" s="12" t="s">
        <v>17</v>
      </c>
      <c r="F24" s="12" t="s">
        <v>503</v>
      </c>
      <c r="G24" s="12" t="s">
        <v>18</v>
      </c>
      <c r="H24" s="12" t="s">
        <v>19</v>
      </c>
      <c r="I24" s="13">
        <v>46080</v>
      </c>
      <c r="J24" s="13">
        <v>46080</v>
      </c>
      <c r="K24" s="14">
        <v>30000</v>
      </c>
      <c r="L24" s="24"/>
      <c r="M24" s="24"/>
    </row>
    <row r="25" spans="1:13" x14ac:dyDescent="0.25">
      <c r="B25" s="5"/>
      <c r="C25" s="5"/>
      <c r="I25" s="5"/>
      <c r="J25" s="5"/>
      <c r="K25" s="90"/>
    </row>
    <row r="26" spans="1:13" x14ac:dyDescent="0.25">
      <c r="B26" s="5"/>
      <c r="C26" s="5"/>
      <c r="I26" s="5"/>
      <c r="J26" s="5"/>
      <c r="K26" s="90"/>
    </row>
    <row r="27" spans="1:13" x14ac:dyDescent="0.25">
      <c r="B27" s="5"/>
      <c r="C27" s="5"/>
      <c r="I27" s="5"/>
      <c r="J27" s="5"/>
      <c r="K27" s="90"/>
    </row>
    <row r="28" spans="1:13" x14ac:dyDescent="0.25">
      <c r="B28" s="5"/>
      <c r="C28" s="5"/>
      <c r="I28" s="5"/>
      <c r="J28" s="5"/>
      <c r="K28" s="90"/>
    </row>
    <row r="29" spans="1:13" x14ac:dyDescent="0.25">
      <c r="B29" s="5"/>
      <c r="C29" s="5"/>
      <c r="I29" s="5"/>
      <c r="J29" s="5"/>
      <c r="K29" s="90"/>
    </row>
    <row r="30" spans="1:13" x14ac:dyDescent="0.25">
      <c r="B30" s="5"/>
      <c r="C30" s="5"/>
      <c r="I30" s="5"/>
      <c r="J30" s="5"/>
      <c r="K30" s="90"/>
    </row>
    <row r="31" spans="1:13" x14ac:dyDescent="0.25">
      <c r="B31" s="5"/>
      <c r="C31" s="5"/>
      <c r="I31" s="5"/>
      <c r="J31" s="5"/>
      <c r="K31" s="90"/>
    </row>
    <row r="32" spans="1:13" x14ac:dyDescent="0.25">
      <c r="B32" s="5"/>
      <c r="C32" s="5"/>
      <c r="I32" s="5"/>
      <c r="J32" s="5"/>
      <c r="K32" s="90"/>
    </row>
    <row r="33" spans="2:11" x14ac:dyDescent="0.25">
      <c r="B33" s="5"/>
      <c r="C33" s="5"/>
      <c r="I33" s="5"/>
      <c r="J33" s="5"/>
      <c r="K33" s="90"/>
    </row>
    <row r="34" spans="2:11" x14ac:dyDescent="0.25">
      <c r="B34" s="5"/>
      <c r="C34" s="5"/>
      <c r="I34" s="5"/>
      <c r="J34" s="5"/>
      <c r="K34" s="90"/>
    </row>
    <row r="35" spans="2:11" x14ac:dyDescent="0.25">
      <c r="B35" s="5"/>
      <c r="C35" s="5"/>
      <c r="I35" s="5"/>
      <c r="J35" s="5"/>
      <c r="K35" s="90"/>
    </row>
    <row r="36" spans="2:11" x14ac:dyDescent="0.25">
      <c r="B36" s="5"/>
      <c r="C36" s="5"/>
      <c r="I36" s="5"/>
      <c r="J36" s="5"/>
      <c r="K36" s="90"/>
    </row>
    <row r="37" spans="2:11" x14ac:dyDescent="0.25">
      <c r="B37" s="5"/>
      <c r="C37" s="5"/>
      <c r="I37" s="5"/>
      <c r="J37" s="5"/>
      <c r="K37" s="90"/>
    </row>
    <row r="38" spans="2:11" x14ac:dyDescent="0.25">
      <c r="B38" s="5"/>
      <c r="C38" s="5"/>
      <c r="I38" s="5"/>
      <c r="J38" s="5"/>
      <c r="K38" s="90"/>
    </row>
    <row r="39" spans="2:11" x14ac:dyDescent="0.25">
      <c r="B39" s="5"/>
      <c r="C39" s="5"/>
      <c r="I39" s="5"/>
      <c r="J39" s="5"/>
      <c r="K39" s="90"/>
    </row>
    <row r="40" spans="2:11" x14ac:dyDescent="0.25">
      <c r="B40" s="5"/>
      <c r="C40" s="5"/>
      <c r="I40" s="5"/>
      <c r="J40" s="5"/>
      <c r="K40" s="90"/>
    </row>
    <row r="41" spans="2:11" x14ac:dyDescent="0.25">
      <c r="B41" s="5"/>
      <c r="C41" s="5"/>
      <c r="I41" s="5"/>
      <c r="J41" s="5"/>
      <c r="K41" s="90"/>
    </row>
    <row r="42" spans="2:11" x14ac:dyDescent="0.25">
      <c r="B42" s="5"/>
      <c r="C42" s="5"/>
      <c r="I42" s="5"/>
      <c r="J42" s="5"/>
      <c r="K42" s="90"/>
    </row>
    <row r="43" spans="2:11" x14ac:dyDescent="0.25">
      <c r="B43" s="5"/>
      <c r="C43" s="5"/>
      <c r="I43" s="5"/>
      <c r="J43" s="5"/>
      <c r="K43" s="90"/>
    </row>
    <row r="44" spans="2:11" x14ac:dyDescent="0.25">
      <c r="B44" s="5"/>
      <c r="C44" s="5"/>
      <c r="I44" s="5"/>
      <c r="J44" s="5"/>
      <c r="K44" s="90"/>
    </row>
    <row r="45" spans="2:11" x14ac:dyDescent="0.25">
      <c r="B45" s="5"/>
      <c r="C45" s="5"/>
      <c r="I45" s="5"/>
      <c r="J45" s="5"/>
      <c r="K45" s="90"/>
    </row>
    <row r="46" spans="2:11" x14ac:dyDescent="0.25">
      <c r="B46" s="5"/>
      <c r="C46" s="5"/>
      <c r="I46" s="5"/>
      <c r="J46" s="5"/>
      <c r="K46" s="90"/>
    </row>
    <row r="47" spans="2:11" x14ac:dyDescent="0.25">
      <c r="B47" s="5"/>
      <c r="C47" s="5"/>
      <c r="I47" s="5"/>
      <c r="J47" s="5"/>
      <c r="K47" s="90"/>
    </row>
    <row r="48" spans="2:11" x14ac:dyDescent="0.25">
      <c r="B48" s="5"/>
      <c r="C48" s="5"/>
      <c r="I48" s="5"/>
      <c r="J48" s="5"/>
      <c r="K48" s="90"/>
    </row>
    <row r="49" spans="2:11" x14ac:dyDescent="0.25">
      <c r="B49" s="5"/>
      <c r="C49" s="5"/>
      <c r="I49" s="5"/>
      <c r="J49" s="5"/>
      <c r="K49" s="90"/>
    </row>
    <row r="50" spans="2:11" x14ac:dyDescent="0.25">
      <c r="B50" s="5"/>
      <c r="C50" s="5"/>
      <c r="I50" s="5"/>
      <c r="J50" s="5"/>
      <c r="K50" s="90"/>
    </row>
    <row r="51" spans="2:11" x14ac:dyDescent="0.25">
      <c r="B51" s="5"/>
      <c r="C51" s="5"/>
      <c r="I51" s="5"/>
      <c r="J51" s="5"/>
      <c r="K51" s="5"/>
    </row>
    <row r="52" spans="2:11" x14ac:dyDescent="0.25">
      <c r="B52" s="5"/>
      <c r="C52" s="5"/>
      <c r="I52" s="5"/>
      <c r="J52" s="5"/>
      <c r="K52" s="5"/>
    </row>
    <row r="53" spans="2:11" x14ac:dyDescent="0.25">
      <c r="B53" s="5"/>
      <c r="C53" s="5"/>
      <c r="I53" s="5"/>
      <c r="J53" s="5"/>
      <c r="K53" s="5"/>
    </row>
    <row r="54" spans="2:11" x14ac:dyDescent="0.25">
      <c r="B54" s="5"/>
      <c r="C54" s="5"/>
      <c r="I54" s="5"/>
      <c r="J54" s="5"/>
      <c r="K54" s="5"/>
    </row>
    <row r="55" spans="2:11" x14ac:dyDescent="0.25">
      <c r="I55" s="5"/>
      <c r="J55" s="5"/>
    </row>
    <row r="56" spans="2:11" x14ac:dyDescent="0.25">
      <c r="I56" s="5"/>
      <c r="J56" s="5"/>
    </row>
    <row r="57" spans="2:11" x14ac:dyDescent="0.25">
      <c r="I57" s="5"/>
      <c r="J57" s="5"/>
    </row>
    <row r="58" spans="2:11" x14ac:dyDescent="0.25">
      <c r="I58" s="5"/>
      <c r="J58" s="5"/>
    </row>
    <row r="59" spans="2:11" x14ac:dyDescent="0.25">
      <c r="I59" s="5"/>
      <c r="J59" s="5"/>
    </row>
    <row r="60" spans="2:11" x14ac:dyDescent="0.25">
      <c r="I60" s="5"/>
      <c r="J60" s="5"/>
    </row>
    <row r="61" spans="2:11" x14ac:dyDescent="0.25">
      <c r="I61" s="5"/>
      <c r="J61" s="5"/>
    </row>
    <row r="62" spans="2:11" x14ac:dyDescent="0.25">
      <c r="I62" s="5"/>
      <c r="J62" s="5"/>
    </row>
    <row r="63" spans="2:11" x14ac:dyDescent="0.25">
      <c r="I63" s="5"/>
      <c r="J63" s="5"/>
    </row>
    <row r="64" spans="2:11" x14ac:dyDescent="0.25">
      <c r="I64" s="5"/>
      <c r="J64" s="5"/>
    </row>
    <row r="65" spans="9:10" x14ac:dyDescent="0.25">
      <c r="I65" s="5"/>
      <c r="J65" s="5"/>
    </row>
    <row r="66" spans="9:10" x14ac:dyDescent="0.25">
      <c r="I66" s="5"/>
      <c r="J66" s="5"/>
    </row>
    <row r="67" spans="9:10" x14ac:dyDescent="0.25">
      <c r="I67" s="5"/>
      <c r="J67" s="5"/>
    </row>
    <row r="68" spans="9:10" x14ac:dyDescent="0.25">
      <c r="I68" s="5"/>
      <c r="J68" s="5"/>
    </row>
    <row r="69" spans="9:10" x14ac:dyDescent="0.25">
      <c r="I69" s="5"/>
      <c r="J69" s="5"/>
    </row>
    <row r="70" spans="9:10" x14ac:dyDescent="0.25">
      <c r="I70" s="5"/>
      <c r="J70" s="5"/>
    </row>
    <row r="71" spans="9:10" x14ac:dyDescent="0.25">
      <c r="I71" s="5"/>
      <c r="J71" s="5"/>
    </row>
    <row r="72" spans="9:10" x14ac:dyDescent="0.25">
      <c r="I72" s="5"/>
      <c r="J72" s="5"/>
    </row>
    <row r="73" spans="9:10" x14ac:dyDescent="0.25">
      <c r="I73" s="5"/>
      <c r="J73" s="5"/>
    </row>
    <row r="74" spans="9:10" x14ac:dyDescent="0.25">
      <c r="I74" s="5"/>
      <c r="J74" s="5"/>
    </row>
    <row r="75" spans="9:10" x14ac:dyDescent="0.25">
      <c r="I75" s="5"/>
      <c r="J75" s="5"/>
    </row>
  </sheetData>
  <mergeCells count="2">
    <mergeCell ref="A3:M3"/>
    <mergeCell ref="A7:M7"/>
  </mergeCells>
  <pageMargins left="0.7" right="0.7" top="0.75" bottom="0.75" header="0.3" footer="0.3"/>
  <pageSetup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3490-CA41-4556-B0BD-63EF65D037A7}">
  <sheetPr>
    <tabColor rgb="FFFEDEF7"/>
  </sheetPr>
  <dimension ref="A2:M29"/>
  <sheetViews>
    <sheetView workbookViewId="0">
      <selection activeCell="A12" sqref="A12:XFD12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35" t="s">
        <v>81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39" t="s">
        <v>2</v>
      </c>
      <c r="B6" s="7" t="s">
        <v>3</v>
      </c>
      <c r="C6" s="40" t="s">
        <v>4</v>
      </c>
      <c r="D6" s="7" t="s">
        <v>5</v>
      </c>
      <c r="E6" s="40" t="s">
        <v>6</v>
      </c>
      <c r="F6" s="7" t="s">
        <v>7</v>
      </c>
      <c r="G6" s="7" t="s">
        <v>8</v>
      </c>
      <c r="H6" s="40" t="s">
        <v>9</v>
      </c>
      <c r="I6" s="7" t="s">
        <v>10</v>
      </c>
      <c r="J6" s="40" t="s">
        <v>11</v>
      </c>
      <c r="K6" s="7" t="s">
        <v>12</v>
      </c>
      <c r="L6" s="7" t="s">
        <v>80</v>
      </c>
      <c r="M6" s="41" t="s">
        <v>14</v>
      </c>
    </row>
    <row r="7" spans="1:13" ht="15.75" x14ac:dyDescent="0.25">
      <c r="A7" s="178" t="s">
        <v>33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80"/>
    </row>
    <row r="8" spans="1:13" x14ac:dyDescent="0.25">
      <c r="A8" s="12">
        <v>1</v>
      </c>
      <c r="B8" s="15" t="s">
        <v>458</v>
      </c>
      <c r="C8" s="15" t="s">
        <v>502</v>
      </c>
      <c r="D8" s="15">
        <v>318807</v>
      </c>
      <c r="E8" s="15" t="s">
        <v>17</v>
      </c>
      <c r="F8" s="15" t="s">
        <v>501</v>
      </c>
      <c r="G8" s="15" t="s">
        <v>20</v>
      </c>
      <c r="H8" s="15" t="s">
        <v>21</v>
      </c>
      <c r="I8" s="16">
        <v>46080</v>
      </c>
      <c r="J8" s="16">
        <v>46083</v>
      </c>
      <c r="K8" s="17">
        <v>330</v>
      </c>
      <c r="L8" s="25"/>
      <c r="M8" s="15"/>
    </row>
    <row r="9" spans="1:13" x14ac:dyDescent="0.25">
      <c r="A9" s="12">
        <v>2</v>
      </c>
      <c r="B9" s="12" t="s">
        <v>469</v>
      </c>
      <c r="C9" s="12" t="s">
        <v>499</v>
      </c>
      <c r="D9" s="12">
        <v>319345</v>
      </c>
      <c r="E9" s="12" t="s">
        <v>17</v>
      </c>
      <c r="F9" s="12" t="s">
        <v>500</v>
      </c>
      <c r="G9" s="12" t="s">
        <v>20</v>
      </c>
      <c r="H9" s="12" t="s">
        <v>19</v>
      </c>
      <c r="I9" s="13">
        <v>46086</v>
      </c>
      <c r="J9" s="13">
        <v>46086</v>
      </c>
      <c r="K9" s="14">
        <v>18000</v>
      </c>
      <c r="L9" s="26"/>
      <c r="M9" s="12"/>
    </row>
    <row r="10" spans="1:13" x14ac:dyDescent="0.25">
      <c r="A10" s="12">
        <v>3</v>
      </c>
      <c r="B10" s="12" t="s">
        <v>458</v>
      </c>
      <c r="C10" s="12" t="s">
        <v>496</v>
      </c>
      <c r="D10" s="12">
        <v>319433</v>
      </c>
      <c r="E10" s="12" t="s">
        <v>17</v>
      </c>
      <c r="F10" s="12" t="s">
        <v>495</v>
      </c>
      <c r="G10" s="12" t="s">
        <v>20</v>
      </c>
      <c r="H10" s="12" t="s">
        <v>19</v>
      </c>
      <c r="I10" s="13">
        <v>46085</v>
      </c>
      <c r="J10" s="13">
        <v>46087</v>
      </c>
      <c r="K10" s="14">
        <v>25000</v>
      </c>
      <c r="L10" s="26"/>
      <c r="M10" s="12"/>
    </row>
    <row r="11" spans="1:13" x14ac:dyDescent="0.25">
      <c r="A11" s="12">
        <v>4</v>
      </c>
      <c r="B11" s="12" t="s">
        <v>469</v>
      </c>
      <c r="C11" s="12" t="s">
        <v>515</v>
      </c>
      <c r="D11" s="12">
        <v>319669</v>
      </c>
      <c r="E11" s="12" t="s">
        <v>17</v>
      </c>
      <c r="F11" s="12" t="s">
        <v>100</v>
      </c>
      <c r="G11" s="12" t="s">
        <v>18</v>
      </c>
      <c r="H11" s="12" t="s">
        <v>19</v>
      </c>
      <c r="I11" s="13">
        <v>46090</v>
      </c>
      <c r="J11" s="13">
        <v>46092</v>
      </c>
      <c r="K11" s="14">
        <v>19000</v>
      </c>
      <c r="L11" s="26"/>
      <c r="M11" s="12"/>
    </row>
    <row r="12" spans="1:13" x14ac:dyDescent="0.25">
      <c r="A12" s="12">
        <v>5</v>
      </c>
      <c r="B12" s="12" t="s">
        <v>469</v>
      </c>
      <c r="C12" s="12" t="s">
        <v>498</v>
      </c>
      <c r="D12" s="12">
        <v>319685</v>
      </c>
      <c r="E12" s="12" t="s">
        <v>24</v>
      </c>
      <c r="F12" s="12" t="s">
        <v>278</v>
      </c>
      <c r="G12" s="12" t="s">
        <v>18</v>
      </c>
      <c r="H12" s="12" t="s">
        <v>19</v>
      </c>
      <c r="I12" s="13">
        <v>46090</v>
      </c>
      <c r="J12" s="13">
        <v>46092</v>
      </c>
      <c r="K12" s="14">
        <v>55000</v>
      </c>
      <c r="L12" s="26"/>
      <c r="M12" s="12"/>
    </row>
    <row r="13" spans="1:13" x14ac:dyDescent="0.25">
      <c r="A13" s="12">
        <v>6</v>
      </c>
      <c r="B13" s="12" t="s">
        <v>16</v>
      </c>
      <c r="C13" s="12" t="s">
        <v>497</v>
      </c>
      <c r="D13" s="12">
        <v>319925</v>
      </c>
      <c r="E13" s="12" t="s">
        <v>17</v>
      </c>
      <c r="F13" s="12" t="s">
        <v>29</v>
      </c>
      <c r="G13" s="12" t="s">
        <v>18</v>
      </c>
      <c r="H13" s="12" t="s">
        <v>19</v>
      </c>
      <c r="I13" s="13">
        <v>46091</v>
      </c>
      <c r="J13" s="13">
        <v>46092</v>
      </c>
      <c r="K13" s="14">
        <v>42000</v>
      </c>
      <c r="L13" s="26"/>
      <c r="M13" s="12"/>
    </row>
    <row r="14" spans="1:13" ht="14.25" customHeight="1" x14ac:dyDescent="0.25">
      <c r="A14" s="12">
        <v>7</v>
      </c>
      <c r="B14" s="12" t="s">
        <v>458</v>
      </c>
      <c r="C14" s="12" t="s">
        <v>494</v>
      </c>
      <c r="D14" s="12">
        <v>320157</v>
      </c>
      <c r="E14" s="12" t="s">
        <v>32</v>
      </c>
      <c r="F14" s="12" t="s">
        <v>119</v>
      </c>
      <c r="G14" s="12" t="s">
        <v>20</v>
      </c>
      <c r="H14" s="12" t="s">
        <v>19</v>
      </c>
      <c r="I14" s="13">
        <v>46092</v>
      </c>
      <c r="J14" s="13">
        <v>46093</v>
      </c>
      <c r="K14" s="14">
        <v>33000</v>
      </c>
      <c r="L14" s="26"/>
      <c r="M14" s="12"/>
    </row>
    <row r="15" spans="1:13" x14ac:dyDescent="0.25">
      <c r="A15" s="12">
        <v>8</v>
      </c>
      <c r="B15" s="12" t="s">
        <v>22</v>
      </c>
      <c r="C15" s="12" t="s">
        <v>492</v>
      </c>
      <c r="D15" s="12">
        <v>320338</v>
      </c>
      <c r="E15" s="12" t="s">
        <v>24</v>
      </c>
      <c r="F15" s="12" t="s">
        <v>170</v>
      </c>
      <c r="G15" s="12" t="s">
        <v>20</v>
      </c>
      <c r="H15" s="12" t="s">
        <v>19</v>
      </c>
      <c r="I15" s="13">
        <v>46092</v>
      </c>
      <c r="J15" s="13">
        <v>46094</v>
      </c>
      <c r="K15" s="14">
        <v>63000</v>
      </c>
      <c r="L15" s="42"/>
      <c r="M15" s="12"/>
    </row>
    <row r="16" spans="1:13" x14ac:dyDescent="0.25">
      <c r="A16" s="12">
        <v>9</v>
      </c>
      <c r="B16" s="12" t="s">
        <v>16</v>
      </c>
      <c r="C16" s="12" t="s">
        <v>516</v>
      </c>
      <c r="D16" s="15">
        <v>320446</v>
      </c>
      <c r="E16" s="15" t="s">
        <v>17</v>
      </c>
      <c r="F16" s="15" t="s">
        <v>517</v>
      </c>
      <c r="G16" s="15" t="s">
        <v>18</v>
      </c>
      <c r="H16" s="15" t="s">
        <v>19</v>
      </c>
      <c r="I16" s="16">
        <v>46091</v>
      </c>
      <c r="J16" s="16">
        <v>46098</v>
      </c>
      <c r="K16" s="17">
        <v>27000</v>
      </c>
      <c r="L16" s="26"/>
      <c r="M16" s="12"/>
    </row>
    <row r="17" spans="1:13" x14ac:dyDescent="0.25">
      <c r="A17" s="12">
        <v>10</v>
      </c>
      <c r="B17" s="12" t="s">
        <v>16</v>
      </c>
      <c r="C17" s="12" t="s">
        <v>493</v>
      </c>
      <c r="D17" s="12">
        <v>320442</v>
      </c>
      <c r="E17" s="12" t="s">
        <v>17</v>
      </c>
      <c r="F17" s="12" t="s">
        <v>491</v>
      </c>
      <c r="G17" s="12" t="s">
        <v>18</v>
      </c>
      <c r="H17" s="12" t="s">
        <v>19</v>
      </c>
      <c r="I17" s="13">
        <v>46091</v>
      </c>
      <c r="J17" s="13">
        <v>46098</v>
      </c>
      <c r="K17" s="14">
        <v>32000</v>
      </c>
      <c r="L17" s="42" t="s">
        <v>538</v>
      </c>
      <c r="M17" s="14"/>
    </row>
    <row r="18" spans="1:13" x14ac:dyDescent="0.25">
      <c r="A18" s="12">
        <v>11</v>
      </c>
      <c r="B18" s="12" t="s">
        <v>22</v>
      </c>
      <c r="C18" s="12" t="s">
        <v>527</v>
      </c>
      <c r="D18" s="15">
        <v>321677</v>
      </c>
      <c r="E18" s="12" t="s">
        <v>32</v>
      </c>
      <c r="F18" s="15" t="s">
        <v>532</v>
      </c>
      <c r="G18" s="15" t="s">
        <v>20</v>
      </c>
      <c r="H18" s="15" t="s">
        <v>21</v>
      </c>
      <c r="I18" s="16">
        <v>46090</v>
      </c>
      <c r="J18" s="16">
        <v>46106</v>
      </c>
      <c r="K18" s="17">
        <v>240</v>
      </c>
      <c r="L18" s="25"/>
      <c r="M18" s="15"/>
    </row>
    <row r="19" spans="1:13" x14ac:dyDescent="0.25">
      <c r="A19" s="12">
        <v>12</v>
      </c>
      <c r="B19" s="12" t="s">
        <v>22</v>
      </c>
      <c r="C19" s="12" t="s">
        <v>528</v>
      </c>
      <c r="D19" s="15">
        <v>321679</v>
      </c>
      <c r="E19" s="12" t="s">
        <v>32</v>
      </c>
      <c r="F19" s="15" t="s">
        <v>532</v>
      </c>
      <c r="G19" s="15" t="s">
        <v>20</v>
      </c>
      <c r="H19" s="15" t="s">
        <v>21</v>
      </c>
      <c r="I19" s="16">
        <v>46090</v>
      </c>
      <c r="J19" s="16">
        <v>46106</v>
      </c>
      <c r="K19" s="17">
        <v>350</v>
      </c>
      <c r="L19" s="25"/>
      <c r="M19" s="15"/>
    </row>
    <row r="20" spans="1:13" x14ac:dyDescent="0.25">
      <c r="A20" s="12">
        <v>13</v>
      </c>
      <c r="B20" s="12" t="s">
        <v>22</v>
      </c>
      <c r="C20" s="12" t="s">
        <v>529</v>
      </c>
      <c r="D20" s="12">
        <v>321684</v>
      </c>
      <c r="E20" s="12" t="s">
        <v>32</v>
      </c>
      <c r="F20" s="15" t="s">
        <v>532</v>
      </c>
      <c r="G20" s="15" t="s">
        <v>20</v>
      </c>
      <c r="H20" s="15" t="s">
        <v>21</v>
      </c>
      <c r="I20" s="16">
        <v>46090</v>
      </c>
      <c r="J20" s="16">
        <v>46106</v>
      </c>
      <c r="K20" s="14">
        <v>300</v>
      </c>
      <c r="L20" s="26"/>
      <c r="M20" s="12"/>
    </row>
    <row r="21" spans="1:13" x14ac:dyDescent="0.25">
      <c r="A21" s="12">
        <v>14</v>
      </c>
      <c r="B21" s="12" t="s">
        <v>22</v>
      </c>
      <c r="C21" s="12" t="s">
        <v>530</v>
      </c>
      <c r="D21" s="15">
        <v>321689</v>
      </c>
      <c r="E21" s="12" t="s">
        <v>32</v>
      </c>
      <c r="F21" s="15" t="s">
        <v>532</v>
      </c>
      <c r="G21" s="15" t="s">
        <v>20</v>
      </c>
      <c r="H21" s="15" t="s">
        <v>21</v>
      </c>
      <c r="I21" s="16">
        <v>46090</v>
      </c>
      <c r="J21" s="16">
        <v>46106</v>
      </c>
      <c r="K21" s="17">
        <v>300</v>
      </c>
      <c r="L21" s="25"/>
      <c r="M21" s="15"/>
    </row>
    <row r="22" spans="1:13" x14ac:dyDescent="0.25">
      <c r="A22" s="12">
        <v>15</v>
      </c>
      <c r="B22" s="12" t="s">
        <v>22</v>
      </c>
      <c r="C22" s="12" t="s">
        <v>531</v>
      </c>
      <c r="D22" s="15">
        <v>321695</v>
      </c>
      <c r="E22" s="12" t="s">
        <v>32</v>
      </c>
      <c r="F22" s="15" t="s">
        <v>532</v>
      </c>
      <c r="G22" s="15" t="s">
        <v>20</v>
      </c>
      <c r="H22" s="15" t="s">
        <v>21</v>
      </c>
      <c r="I22" s="16">
        <v>46090</v>
      </c>
      <c r="J22" s="16">
        <v>46106</v>
      </c>
      <c r="K22" s="17">
        <v>300</v>
      </c>
      <c r="L22" s="25"/>
      <c r="M22" s="15"/>
    </row>
    <row r="23" spans="1:13" x14ac:dyDescent="0.25">
      <c r="A23" s="12">
        <v>16</v>
      </c>
      <c r="B23" s="15" t="s">
        <v>16</v>
      </c>
      <c r="C23" s="15" t="s">
        <v>533</v>
      </c>
      <c r="D23" s="15">
        <v>321806</v>
      </c>
      <c r="E23" s="15" t="s">
        <v>24</v>
      </c>
      <c r="F23" s="15" t="s">
        <v>534</v>
      </c>
      <c r="G23" s="15" t="s">
        <v>20</v>
      </c>
      <c r="H23" s="15" t="s">
        <v>19</v>
      </c>
      <c r="I23" s="16">
        <v>46105</v>
      </c>
      <c r="J23" s="16">
        <v>46106</v>
      </c>
      <c r="K23" s="17">
        <v>180000</v>
      </c>
      <c r="L23" s="25"/>
      <c r="M23" s="15"/>
    </row>
    <row r="24" spans="1:13" x14ac:dyDescent="0.25">
      <c r="A24" s="12">
        <v>17</v>
      </c>
      <c r="B24" s="15" t="s">
        <v>16</v>
      </c>
      <c r="C24" s="15" t="s">
        <v>535</v>
      </c>
      <c r="D24" s="15">
        <v>321850</v>
      </c>
      <c r="E24" s="15" t="s">
        <v>17</v>
      </c>
      <c r="F24" s="15" t="s">
        <v>536</v>
      </c>
      <c r="G24" s="15" t="s">
        <v>20</v>
      </c>
      <c r="H24" s="15" t="s">
        <v>19</v>
      </c>
      <c r="I24" s="16">
        <v>46105</v>
      </c>
      <c r="J24" s="16">
        <v>46106</v>
      </c>
      <c r="K24" s="17">
        <v>32000</v>
      </c>
      <c r="L24" s="25" t="s">
        <v>537</v>
      </c>
      <c r="M24" s="15"/>
    </row>
    <row r="25" spans="1:13" x14ac:dyDescent="0.25">
      <c r="A25" s="12">
        <v>18</v>
      </c>
      <c r="B25" s="15" t="s">
        <v>16</v>
      </c>
      <c r="C25" s="15" t="s">
        <v>539</v>
      </c>
      <c r="D25" s="15">
        <v>321966</v>
      </c>
      <c r="E25" s="15" t="s">
        <v>24</v>
      </c>
      <c r="F25" s="15" t="s">
        <v>340</v>
      </c>
      <c r="G25" s="15" t="s">
        <v>20</v>
      </c>
      <c r="H25" s="15" t="s">
        <v>19</v>
      </c>
      <c r="I25" s="16">
        <v>46106</v>
      </c>
      <c r="J25" s="16">
        <v>46107</v>
      </c>
      <c r="K25" s="17">
        <v>68000</v>
      </c>
      <c r="L25" s="25" t="s">
        <v>120</v>
      </c>
      <c r="M25" s="15"/>
    </row>
    <row r="26" spans="1:13" x14ac:dyDescent="0.25">
      <c r="A26" s="12">
        <v>19</v>
      </c>
      <c r="B26" s="15" t="s">
        <v>22</v>
      </c>
      <c r="C26" s="15" t="s">
        <v>540</v>
      </c>
      <c r="D26" s="15">
        <v>322075</v>
      </c>
      <c r="E26" s="15" t="s">
        <v>41</v>
      </c>
      <c r="F26" s="15" t="s">
        <v>541</v>
      </c>
      <c r="G26" s="15" t="s">
        <v>18</v>
      </c>
      <c r="H26" s="15" t="s">
        <v>21</v>
      </c>
      <c r="I26" s="16">
        <v>46106</v>
      </c>
      <c r="J26" s="16">
        <v>46108</v>
      </c>
      <c r="K26" s="17">
        <v>300</v>
      </c>
      <c r="L26" s="25" t="s">
        <v>67</v>
      </c>
      <c r="M26" s="15"/>
    </row>
    <row r="27" spans="1:13" x14ac:dyDescent="0.25">
      <c r="A27" s="15">
        <v>20</v>
      </c>
      <c r="B27" s="15" t="s">
        <v>16</v>
      </c>
      <c r="C27" s="15" t="s">
        <v>542</v>
      </c>
      <c r="D27" s="15">
        <v>322195</v>
      </c>
      <c r="E27" s="15" t="s">
        <v>17</v>
      </c>
      <c r="F27" s="15" t="s">
        <v>543</v>
      </c>
      <c r="G27" s="15" t="s">
        <v>18</v>
      </c>
      <c r="H27" s="15" t="s">
        <v>19</v>
      </c>
      <c r="I27" s="16">
        <v>46108</v>
      </c>
      <c r="J27" s="16">
        <v>46111</v>
      </c>
      <c r="K27" s="17">
        <v>29000</v>
      </c>
      <c r="L27" s="25"/>
      <c r="M27" s="15"/>
    </row>
    <row r="28" spans="1:13" x14ac:dyDescent="0.25">
      <c r="A28" s="15">
        <v>21</v>
      </c>
      <c r="B28" s="15" t="s">
        <v>265</v>
      </c>
      <c r="C28" s="15" t="s">
        <v>544</v>
      </c>
      <c r="D28" s="15">
        <v>322558</v>
      </c>
      <c r="E28" s="15" t="s">
        <v>41</v>
      </c>
      <c r="F28" s="15" t="s">
        <v>30</v>
      </c>
      <c r="G28" s="15" t="s">
        <v>18</v>
      </c>
      <c r="H28" s="15" t="s">
        <v>19</v>
      </c>
      <c r="I28" s="16">
        <v>45712</v>
      </c>
      <c r="J28" s="16">
        <v>46112</v>
      </c>
      <c r="K28" s="17">
        <v>105000</v>
      </c>
      <c r="L28" s="25" t="str">
        <f>+L26</f>
        <v>Delta - Luis León</v>
      </c>
      <c r="M28" s="15"/>
    </row>
    <row r="29" spans="1:13" x14ac:dyDescent="0.25">
      <c r="A29" s="15">
        <v>22</v>
      </c>
      <c r="B29" s="15" t="s">
        <v>265</v>
      </c>
      <c r="C29" s="15" t="s">
        <v>545</v>
      </c>
      <c r="D29" s="15">
        <v>322637</v>
      </c>
      <c r="E29" s="15" t="s">
        <v>17</v>
      </c>
      <c r="F29" s="44" t="s">
        <v>546</v>
      </c>
      <c r="G29" s="15" t="s">
        <v>18</v>
      </c>
      <c r="H29" s="15" t="s">
        <v>19</v>
      </c>
      <c r="I29" s="16">
        <v>46111</v>
      </c>
      <c r="J29" s="16">
        <v>46112</v>
      </c>
      <c r="K29" s="17">
        <v>24600</v>
      </c>
      <c r="L29" s="25"/>
      <c r="M29" s="15"/>
    </row>
  </sheetData>
  <mergeCells count="2">
    <mergeCell ref="A3:M3"/>
    <mergeCell ref="A7:M7"/>
  </mergeCells>
  <phoneticPr fontId="27" type="noConversion"/>
  <pageMargins left="0.7" right="0.7" top="0.75" bottom="0.75" header="0.3" footer="0.3"/>
  <pageSetup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6842-1EC1-45D3-9A50-C4447C986C1E}">
  <sheetPr>
    <tabColor rgb="FFFEDEF7"/>
  </sheetPr>
  <dimension ref="A2:M17"/>
  <sheetViews>
    <sheetView topLeftCell="A4" workbookViewId="0">
      <selection activeCell="D11" sqref="D11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35" t="s">
        <v>81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39" t="s">
        <v>2</v>
      </c>
      <c r="B6" s="7" t="s">
        <v>3</v>
      </c>
      <c r="C6" s="40" t="s">
        <v>4</v>
      </c>
      <c r="D6" s="7" t="s">
        <v>5</v>
      </c>
      <c r="E6" s="40" t="s">
        <v>6</v>
      </c>
      <c r="F6" s="7" t="s">
        <v>7</v>
      </c>
      <c r="G6" s="7" t="s">
        <v>8</v>
      </c>
      <c r="H6" s="40" t="s">
        <v>9</v>
      </c>
      <c r="I6" s="7" t="s">
        <v>10</v>
      </c>
      <c r="J6" s="40" t="s">
        <v>11</v>
      </c>
      <c r="K6" s="7" t="s">
        <v>12</v>
      </c>
      <c r="L6" s="7" t="s">
        <v>80</v>
      </c>
      <c r="M6" s="41" t="s">
        <v>14</v>
      </c>
    </row>
    <row r="7" spans="1:13" ht="15.75" x14ac:dyDescent="0.25">
      <c r="A7" s="178" t="s">
        <v>35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80"/>
    </row>
    <row r="8" spans="1:13" x14ac:dyDescent="0.25">
      <c r="A8" s="12">
        <v>1</v>
      </c>
      <c r="B8" s="12" t="s">
        <v>469</v>
      </c>
      <c r="C8" s="15" t="s">
        <v>547</v>
      </c>
      <c r="D8" s="12">
        <v>323234</v>
      </c>
      <c r="E8" s="12" t="s">
        <v>17</v>
      </c>
      <c r="F8" s="12" t="s">
        <v>548</v>
      </c>
      <c r="G8" s="12" t="s">
        <v>20</v>
      </c>
      <c r="H8" s="12" t="s">
        <v>19</v>
      </c>
      <c r="I8" s="13">
        <v>46120</v>
      </c>
      <c r="J8" s="13">
        <v>46120</v>
      </c>
      <c r="K8" s="14">
        <v>42000</v>
      </c>
      <c r="L8" s="42"/>
      <c r="M8" s="14"/>
    </row>
    <row r="9" spans="1:13" x14ac:dyDescent="0.25">
      <c r="A9" s="12">
        <v>2</v>
      </c>
      <c r="B9" s="12" t="s">
        <v>549</v>
      </c>
      <c r="C9" s="12" t="s">
        <v>550</v>
      </c>
      <c r="D9" s="12">
        <v>323240</v>
      </c>
      <c r="E9" s="12" t="s">
        <v>17</v>
      </c>
      <c r="F9" s="12" t="s">
        <v>551</v>
      </c>
      <c r="G9" s="12" t="s">
        <v>20</v>
      </c>
      <c r="H9" s="12" t="s">
        <v>19</v>
      </c>
      <c r="I9" s="13">
        <v>46119</v>
      </c>
      <c r="J9" s="13">
        <v>46120</v>
      </c>
      <c r="K9" s="14">
        <v>37000</v>
      </c>
      <c r="L9" s="42" t="s">
        <v>552</v>
      </c>
      <c r="M9" s="12"/>
    </row>
    <row r="10" spans="1:13" x14ac:dyDescent="0.25">
      <c r="A10" s="12">
        <v>3</v>
      </c>
      <c r="B10" s="12" t="s">
        <v>22</v>
      </c>
      <c r="C10" s="12" t="s">
        <v>553</v>
      </c>
      <c r="D10" s="12">
        <v>323377</v>
      </c>
      <c r="E10" s="12" t="s">
        <v>24</v>
      </c>
      <c r="F10" s="12" t="s">
        <v>554</v>
      </c>
      <c r="G10" s="12" t="s">
        <v>20</v>
      </c>
      <c r="H10" s="12" t="s">
        <v>19</v>
      </c>
      <c r="I10" s="13">
        <v>46107</v>
      </c>
      <c r="J10" s="13">
        <v>46121</v>
      </c>
      <c r="K10" s="14">
        <v>75000</v>
      </c>
      <c r="L10" s="26" t="s">
        <v>555</v>
      </c>
      <c r="M10" s="12"/>
    </row>
    <row r="11" spans="1:13" x14ac:dyDescent="0.25">
      <c r="A11" s="12">
        <v>4</v>
      </c>
      <c r="B11" s="12" t="s">
        <v>16</v>
      </c>
      <c r="C11" s="12" t="s">
        <v>556</v>
      </c>
      <c r="D11" s="12">
        <v>323352</v>
      </c>
      <c r="E11" s="12" t="s">
        <v>17</v>
      </c>
      <c r="F11" s="12" t="s">
        <v>280</v>
      </c>
      <c r="G11" s="12" t="s">
        <v>20</v>
      </c>
      <c r="H11" s="12" t="s">
        <v>19</v>
      </c>
      <c r="I11" s="13">
        <v>46120</v>
      </c>
      <c r="J11" s="13">
        <v>46122</v>
      </c>
      <c r="K11" s="14">
        <v>55000</v>
      </c>
      <c r="L11" s="26" t="s">
        <v>83</v>
      </c>
      <c r="M11" s="12"/>
    </row>
    <row r="12" spans="1:13" x14ac:dyDescent="0.25">
      <c r="A12" s="12">
        <v>5</v>
      </c>
      <c r="B12" s="12" t="s">
        <v>549</v>
      </c>
      <c r="C12" s="12" t="s">
        <v>557</v>
      </c>
      <c r="D12" s="12">
        <v>323380</v>
      </c>
      <c r="E12" s="12" t="s">
        <v>24</v>
      </c>
      <c r="F12" s="12" t="s">
        <v>558</v>
      </c>
      <c r="G12" s="12" t="s">
        <v>18</v>
      </c>
      <c r="H12" s="12" t="s">
        <v>19</v>
      </c>
      <c r="I12" s="13">
        <v>46120</v>
      </c>
      <c r="J12" s="13">
        <v>46122</v>
      </c>
      <c r="K12" s="14">
        <v>46000</v>
      </c>
      <c r="L12" s="26"/>
      <c r="M12" s="12"/>
    </row>
    <row r="13" spans="1:13" x14ac:dyDescent="0.25">
      <c r="A13" s="12">
        <v>6</v>
      </c>
      <c r="B13" s="12" t="s">
        <v>16</v>
      </c>
      <c r="C13" s="12" t="s">
        <v>559</v>
      </c>
      <c r="D13" s="12">
        <v>323427</v>
      </c>
      <c r="E13" s="12" t="s">
        <v>17</v>
      </c>
      <c r="F13" s="12" t="s">
        <v>38</v>
      </c>
      <c r="G13" s="12" t="s">
        <v>18</v>
      </c>
      <c r="H13" s="12" t="s">
        <v>19</v>
      </c>
      <c r="I13" s="13">
        <v>46122</v>
      </c>
      <c r="J13" s="13">
        <v>46122</v>
      </c>
      <c r="K13" s="14">
        <v>25000</v>
      </c>
      <c r="L13" s="26"/>
      <c r="M13" s="12"/>
    </row>
    <row r="14" spans="1:13" x14ac:dyDescent="0.25">
      <c r="A14" s="12">
        <v>7</v>
      </c>
      <c r="B14" s="12" t="s">
        <v>183</v>
      </c>
      <c r="C14" s="12" t="s">
        <v>560</v>
      </c>
      <c r="D14" s="12">
        <v>324109</v>
      </c>
      <c r="E14" s="12" t="s">
        <v>17</v>
      </c>
      <c r="F14" s="12" t="s">
        <v>561</v>
      </c>
      <c r="G14" s="12" t="s">
        <v>18</v>
      </c>
      <c r="H14" s="12" t="s">
        <v>21</v>
      </c>
      <c r="I14" s="13">
        <v>46126</v>
      </c>
      <c r="J14" s="13">
        <v>46127</v>
      </c>
      <c r="K14" s="14">
        <v>300</v>
      </c>
      <c r="L14" s="26" t="s">
        <v>562</v>
      </c>
      <c r="M14" s="12"/>
    </row>
    <row r="15" spans="1:13" x14ac:dyDescent="0.25">
      <c r="A15" s="12">
        <v>8</v>
      </c>
      <c r="B15" s="15" t="s">
        <v>183</v>
      </c>
      <c r="C15" s="15" t="s">
        <v>563</v>
      </c>
      <c r="D15" s="15">
        <v>324366</v>
      </c>
      <c r="E15" s="15" t="s">
        <v>17</v>
      </c>
      <c r="F15" s="44" t="s">
        <v>564</v>
      </c>
      <c r="G15" s="15" t="s">
        <v>18</v>
      </c>
      <c r="H15" s="15" t="s">
        <v>21</v>
      </c>
      <c r="I15" s="16">
        <v>46122</v>
      </c>
      <c r="J15" s="16">
        <v>46132</v>
      </c>
      <c r="K15" s="17">
        <v>250</v>
      </c>
      <c r="L15" s="25" t="s">
        <v>565</v>
      </c>
      <c r="M15" s="15"/>
    </row>
    <row r="16" spans="1:13" x14ac:dyDescent="0.25">
      <c r="A16" s="12">
        <v>9</v>
      </c>
      <c r="B16" s="15" t="s">
        <v>22</v>
      </c>
      <c r="C16" s="15" t="s">
        <v>573</v>
      </c>
      <c r="D16" s="15">
        <v>324860</v>
      </c>
      <c r="E16" s="15" t="s">
        <v>17</v>
      </c>
      <c r="F16" s="15" t="s">
        <v>567</v>
      </c>
      <c r="G16" s="15" t="s">
        <v>18</v>
      </c>
      <c r="H16" s="15" t="s">
        <v>19</v>
      </c>
      <c r="I16" s="16">
        <v>46132</v>
      </c>
      <c r="J16" s="16">
        <v>46134</v>
      </c>
      <c r="K16" s="17">
        <v>19000</v>
      </c>
      <c r="L16" s="25"/>
      <c r="M16" s="15"/>
    </row>
    <row r="17" spans="1:13" x14ac:dyDescent="0.25">
      <c r="A17" s="12">
        <v>10</v>
      </c>
      <c r="B17" s="15" t="s">
        <v>458</v>
      </c>
      <c r="C17" s="15" t="s">
        <v>574</v>
      </c>
      <c r="D17" s="15">
        <v>325635</v>
      </c>
      <c r="E17" s="15" t="s">
        <v>17</v>
      </c>
      <c r="F17" s="15" t="s">
        <v>124</v>
      </c>
      <c r="G17" s="15" t="s">
        <v>20</v>
      </c>
      <c r="H17" s="15" t="s">
        <v>19</v>
      </c>
      <c r="I17" s="16">
        <v>46139</v>
      </c>
      <c r="J17" s="16">
        <v>46140</v>
      </c>
      <c r="K17" s="17">
        <v>22000</v>
      </c>
      <c r="L17" s="25"/>
      <c r="M17" s="15"/>
    </row>
  </sheetData>
  <mergeCells count="2">
    <mergeCell ref="A3:M3"/>
    <mergeCell ref="A7:M7"/>
  </mergeCells>
  <pageMargins left="0.7" right="0.7" top="0.75" bottom="0.75" header="0.3" footer="0.3"/>
  <pageSetup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6B0DD-6630-464B-9EB9-82B42FEEC75B}">
  <sheetPr>
    <tabColor rgb="FFFEDEF7"/>
  </sheetPr>
  <dimension ref="A2:M23"/>
  <sheetViews>
    <sheetView topLeftCell="A4" workbookViewId="0">
      <selection activeCell="F33" sqref="F33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6.42578125" bestFit="1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35" t="s">
        <v>81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39" t="s">
        <v>2</v>
      </c>
      <c r="B6" s="7" t="s">
        <v>3</v>
      </c>
      <c r="C6" s="40" t="s">
        <v>4</v>
      </c>
      <c r="D6" s="7" t="s">
        <v>5</v>
      </c>
      <c r="E6" s="40" t="s">
        <v>6</v>
      </c>
      <c r="F6" s="7" t="s">
        <v>7</v>
      </c>
      <c r="G6" s="7" t="s">
        <v>8</v>
      </c>
      <c r="H6" s="40" t="s">
        <v>9</v>
      </c>
      <c r="I6" s="7" t="s">
        <v>10</v>
      </c>
      <c r="J6" s="40" t="s">
        <v>11</v>
      </c>
      <c r="K6" s="7" t="s">
        <v>12</v>
      </c>
      <c r="L6" s="7" t="s">
        <v>80</v>
      </c>
      <c r="M6" s="41" t="s">
        <v>14</v>
      </c>
    </row>
    <row r="7" spans="1:13" ht="15.75" x14ac:dyDescent="0.25">
      <c r="A7" s="178" t="s">
        <v>39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80"/>
    </row>
    <row r="8" spans="1:13" x14ac:dyDescent="0.25">
      <c r="A8" s="12">
        <v>1</v>
      </c>
      <c r="B8" s="15" t="s">
        <v>458</v>
      </c>
      <c r="C8" s="15" t="s">
        <v>577</v>
      </c>
      <c r="D8" s="12">
        <v>326594</v>
      </c>
      <c r="E8" s="12" t="s">
        <v>24</v>
      </c>
      <c r="F8" s="12" t="s">
        <v>578</v>
      </c>
      <c r="G8" s="12" t="s">
        <v>20</v>
      </c>
      <c r="H8" s="12" t="s">
        <v>19</v>
      </c>
      <c r="I8" s="13">
        <v>46148</v>
      </c>
      <c r="J8" s="13">
        <v>46148</v>
      </c>
      <c r="K8" s="14">
        <v>95000</v>
      </c>
      <c r="L8" s="42"/>
      <c r="M8" s="14"/>
    </row>
    <row r="9" spans="1:13" x14ac:dyDescent="0.25">
      <c r="A9" s="15">
        <v>2</v>
      </c>
      <c r="B9" s="15" t="s">
        <v>458</v>
      </c>
      <c r="C9" s="15" t="s">
        <v>579</v>
      </c>
      <c r="D9" s="15">
        <v>326656</v>
      </c>
      <c r="E9" s="15" t="s">
        <v>37</v>
      </c>
      <c r="F9" s="15" t="s">
        <v>580</v>
      </c>
      <c r="G9" s="15" t="s">
        <v>20</v>
      </c>
      <c r="H9" s="15" t="s">
        <v>19</v>
      </c>
      <c r="I9" s="16">
        <v>46148</v>
      </c>
      <c r="J9" s="16">
        <v>46148</v>
      </c>
      <c r="K9" s="17">
        <v>100000</v>
      </c>
      <c r="L9" s="77"/>
      <c r="M9" s="15"/>
    </row>
    <row r="10" spans="1:13" x14ac:dyDescent="0.25">
      <c r="A10" s="15">
        <v>3</v>
      </c>
      <c r="B10" s="15" t="s">
        <v>458</v>
      </c>
      <c r="C10" s="15" t="s">
        <v>581</v>
      </c>
      <c r="D10" s="15">
        <v>326701</v>
      </c>
      <c r="E10" s="15" t="s">
        <v>17</v>
      </c>
      <c r="F10" s="15" t="s">
        <v>582</v>
      </c>
      <c r="G10" s="15" t="s">
        <v>20</v>
      </c>
      <c r="H10" s="15" t="s">
        <v>19</v>
      </c>
      <c r="I10" s="16">
        <v>46148</v>
      </c>
      <c r="J10" s="16">
        <v>46149</v>
      </c>
      <c r="K10" s="17">
        <v>29000</v>
      </c>
      <c r="L10" s="25"/>
      <c r="M10" s="15"/>
    </row>
    <row r="11" spans="1:13" x14ac:dyDescent="0.25">
      <c r="A11" s="15">
        <v>4</v>
      </c>
      <c r="B11" s="15" t="s">
        <v>16</v>
      </c>
      <c r="C11" s="15" t="s">
        <v>583</v>
      </c>
      <c r="D11" s="15">
        <v>326863</v>
      </c>
      <c r="E11" s="15" t="s">
        <v>17</v>
      </c>
      <c r="F11" s="15" t="s">
        <v>34</v>
      </c>
      <c r="G11" s="15" t="s">
        <v>18</v>
      </c>
      <c r="H11" s="15" t="s">
        <v>19</v>
      </c>
      <c r="I11" s="16">
        <v>46149</v>
      </c>
      <c r="J11" s="16">
        <v>46150</v>
      </c>
      <c r="K11" s="17">
        <v>30000</v>
      </c>
      <c r="L11" s="25"/>
      <c r="M11" s="15"/>
    </row>
    <row r="12" spans="1:13" x14ac:dyDescent="0.25">
      <c r="A12" s="15">
        <v>5</v>
      </c>
      <c r="B12" s="15" t="s">
        <v>549</v>
      </c>
      <c r="C12" s="15" t="s">
        <v>584</v>
      </c>
      <c r="D12" s="15">
        <v>326868</v>
      </c>
      <c r="E12" s="15" t="s">
        <v>17</v>
      </c>
      <c r="F12" s="15" t="s">
        <v>585</v>
      </c>
      <c r="G12" s="15" t="s">
        <v>18</v>
      </c>
      <c r="H12" s="15" t="s">
        <v>19</v>
      </c>
      <c r="I12" s="16">
        <v>46148</v>
      </c>
      <c r="J12" s="16">
        <v>46150</v>
      </c>
      <c r="K12" s="17">
        <v>64000</v>
      </c>
      <c r="L12" s="25"/>
      <c r="M12" s="15"/>
    </row>
    <row r="13" spans="1:13" x14ac:dyDescent="0.25">
      <c r="A13" s="15">
        <v>6</v>
      </c>
      <c r="B13" s="15" t="s">
        <v>22</v>
      </c>
      <c r="C13" s="15" t="s">
        <v>586</v>
      </c>
      <c r="D13" s="15">
        <v>326871</v>
      </c>
      <c r="E13" s="15" t="s">
        <v>32</v>
      </c>
      <c r="F13" s="15" t="s">
        <v>119</v>
      </c>
      <c r="G13" s="15" t="s">
        <v>18</v>
      </c>
      <c r="H13" s="15" t="s">
        <v>21</v>
      </c>
      <c r="I13" s="16">
        <v>46147</v>
      </c>
      <c r="J13" s="16">
        <v>46150</v>
      </c>
      <c r="K13" s="17">
        <v>80</v>
      </c>
      <c r="L13" s="25"/>
      <c r="M13" s="15"/>
    </row>
    <row r="14" spans="1:13" x14ac:dyDescent="0.25">
      <c r="A14" s="15">
        <v>7</v>
      </c>
      <c r="B14" s="15" t="s">
        <v>587</v>
      </c>
      <c r="C14" s="15" t="s">
        <v>588</v>
      </c>
      <c r="D14" s="15">
        <v>327075</v>
      </c>
      <c r="E14" s="15" t="s">
        <v>24</v>
      </c>
      <c r="F14" s="15" t="s">
        <v>589</v>
      </c>
      <c r="G14" s="15" t="s">
        <v>18</v>
      </c>
      <c r="H14" s="15" t="s">
        <v>19</v>
      </c>
      <c r="I14" s="16">
        <v>46150</v>
      </c>
      <c r="J14" s="16">
        <v>46153</v>
      </c>
      <c r="K14" s="17">
        <v>63000</v>
      </c>
      <c r="L14" s="25"/>
      <c r="M14" s="15"/>
    </row>
    <row r="15" spans="1:13" x14ac:dyDescent="0.25">
      <c r="A15" s="15">
        <v>8</v>
      </c>
      <c r="B15" s="15" t="s">
        <v>587</v>
      </c>
      <c r="C15" s="15" t="s">
        <v>590</v>
      </c>
      <c r="D15" s="15">
        <v>327087</v>
      </c>
      <c r="E15" s="15" t="s">
        <v>37</v>
      </c>
      <c r="F15" s="15" t="s">
        <v>591</v>
      </c>
      <c r="G15" s="15" t="s">
        <v>18</v>
      </c>
      <c r="H15" s="15" t="s">
        <v>21</v>
      </c>
      <c r="I15" s="16">
        <v>46153</v>
      </c>
      <c r="J15" s="16">
        <v>46153</v>
      </c>
      <c r="K15" s="17">
        <v>1500</v>
      </c>
      <c r="L15" s="25"/>
      <c r="M15" s="15"/>
    </row>
    <row r="16" spans="1:13" x14ac:dyDescent="0.25">
      <c r="A16" s="15">
        <v>9</v>
      </c>
      <c r="B16" s="15" t="s">
        <v>265</v>
      </c>
      <c r="C16" s="15" t="s">
        <v>592</v>
      </c>
      <c r="D16" s="15">
        <v>327393</v>
      </c>
      <c r="E16" s="15" t="s">
        <v>24</v>
      </c>
      <c r="F16" s="15" t="s">
        <v>593</v>
      </c>
      <c r="G16" s="15" t="s">
        <v>18</v>
      </c>
      <c r="H16" s="15" t="s">
        <v>19</v>
      </c>
      <c r="I16" s="16">
        <v>46129</v>
      </c>
      <c r="J16" s="16">
        <v>46155</v>
      </c>
      <c r="K16" s="17">
        <v>120000</v>
      </c>
      <c r="L16" s="25" t="s">
        <v>67</v>
      </c>
      <c r="M16" s="15"/>
    </row>
    <row r="17" spans="1:13" s="82" customFormat="1" x14ac:dyDescent="0.25">
      <c r="A17" s="15">
        <v>10</v>
      </c>
      <c r="B17" s="15" t="s">
        <v>549</v>
      </c>
      <c r="C17" s="15" t="s">
        <v>594</v>
      </c>
      <c r="D17" s="15">
        <v>327635</v>
      </c>
      <c r="E17" s="15" t="s">
        <v>17</v>
      </c>
      <c r="F17" s="15" t="s">
        <v>139</v>
      </c>
      <c r="G17" s="15" t="s">
        <v>18</v>
      </c>
      <c r="H17" s="15" t="s">
        <v>19</v>
      </c>
      <c r="I17" s="16">
        <v>46157</v>
      </c>
      <c r="J17" s="16">
        <v>46157</v>
      </c>
      <c r="K17" s="17">
        <v>52000</v>
      </c>
      <c r="L17" s="25"/>
      <c r="M17" s="15"/>
    </row>
    <row r="18" spans="1:13" x14ac:dyDescent="0.25">
      <c r="A18" s="15">
        <v>11</v>
      </c>
      <c r="B18" s="15" t="s">
        <v>265</v>
      </c>
      <c r="C18" s="15" t="s">
        <v>595</v>
      </c>
      <c r="D18" s="15">
        <v>327738</v>
      </c>
      <c r="E18" s="15" t="s">
        <v>48</v>
      </c>
      <c r="F18" s="15" t="s">
        <v>207</v>
      </c>
      <c r="G18" s="15" t="s">
        <v>18</v>
      </c>
      <c r="H18" s="15" t="s">
        <v>21</v>
      </c>
      <c r="I18" s="16">
        <v>46149</v>
      </c>
      <c r="J18" s="16">
        <v>46157</v>
      </c>
      <c r="K18" s="17">
        <v>400</v>
      </c>
      <c r="L18" s="25"/>
      <c r="M18" s="15"/>
    </row>
    <row r="19" spans="1:13" x14ac:dyDescent="0.25">
      <c r="A19" s="15">
        <v>12</v>
      </c>
      <c r="B19" s="15" t="s">
        <v>22</v>
      </c>
      <c r="C19" s="15" t="s">
        <v>596</v>
      </c>
      <c r="D19" s="15">
        <v>327714</v>
      </c>
      <c r="E19" s="15" t="s">
        <v>17</v>
      </c>
      <c r="F19" s="15" t="s">
        <v>168</v>
      </c>
      <c r="G19" s="15" t="s">
        <v>20</v>
      </c>
      <c r="H19" s="15" t="s">
        <v>19</v>
      </c>
      <c r="I19" s="16">
        <v>46154</v>
      </c>
      <c r="J19" s="16">
        <v>46157</v>
      </c>
      <c r="K19" s="17">
        <v>55000</v>
      </c>
      <c r="L19" s="25"/>
      <c r="M19" s="15"/>
    </row>
    <row r="20" spans="1:13" x14ac:dyDescent="0.25">
      <c r="A20" s="15">
        <v>13</v>
      </c>
      <c r="B20" s="15" t="s">
        <v>469</v>
      </c>
      <c r="C20" s="15" t="s">
        <v>600</v>
      </c>
      <c r="D20" s="15">
        <v>328355</v>
      </c>
      <c r="E20" s="15" t="s">
        <v>17</v>
      </c>
      <c r="F20" s="15" t="s">
        <v>548</v>
      </c>
      <c r="G20" s="15" t="s">
        <v>20</v>
      </c>
      <c r="H20" s="15" t="s">
        <v>19</v>
      </c>
      <c r="I20" s="16">
        <v>46153</v>
      </c>
      <c r="J20" s="16">
        <v>46163</v>
      </c>
      <c r="K20" s="17">
        <v>34000</v>
      </c>
      <c r="L20" s="25"/>
      <c r="M20" s="15"/>
    </row>
    <row r="21" spans="1:13" x14ac:dyDescent="0.25">
      <c r="A21" s="15">
        <v>14</v>
      </c>
      <c r="B21" s="15" t="s">
        <v>16</v>
      </c>
      <c r="C21" s="15" t="s">
        <v>601</v>
      </c>
      <c r="D21" s="15">
        <v>328294</v>
      </c>
      <c r="E21" s="15" t="s">
        <v>17</v>
      </c>
      <c r="F21" s="15" t="s">
        <v>262</v>
      </c>
      <c r="G21" s="15" t="s">
        <v>20</v>
      </c>
      <c r="H21" s="15" t="s">
        <v>19</v>
      </c>
      <c r="I21" s="16">
        <v>46154</v>
      </c>
      <c r="J21" s="16">
        <v>46163</v>
      </c>
      <c r="K21" s="17">
        <v>25000</v>
      </c>
      <c r="L21" s="25"/>
      <c r="M21" s="15"/>
    </row>
    <row r="22" spans="1:13" x14ac:dyDescent="0.25">
      <c r="A22" s="15">
        <v>15</v>
      </c>
      <c r="B22" s="15" t="s">
        <v>16</v>
      </c>
      <c r="C22" s="15" t="s">
        <v>602</v>
      </c>
      <c r="D22" s="15">
        <v>328433</v>
      </c>
      <c r="E22" s="15" t="s">
        <v>24</v>
      </c>
      <c r="F22" s="15" t="s">
        <v>185</v>
      </c>
      <c r="G22" s="15" t="s">
        <v>20</v>
      </c>
      <c r="H22" s="15" t="s">
        <v>19</v>
      </c>
      <c r="I22" s="16">
        <v>46163</v>
      </c>
      <c r="J22" s="16">
        <v>46164</v>
      </c>
      <c r="K22" s="17">
        <v>55000</v>
      </c>
      <c r="L22" s="25" t="s">
        <v>212</v>
      </c>
      <c r="M22" s="15"/>
    </row>
    <row r="23" spans="1:13" x14ac:dyDescent="0.25">
      <c r="A23" s="15">
        <v>16</v>
      </c>
      <c r="B23" s="15" t="s">
        <v>16</v>
      </c>
      <c r="C23" s="15" t="s">
        <v>603</v>
      </c>
      <c r="D23" s="15">
        <v>328491</v>
      </c>
      <c r="E23" s="15" t="s">
        <v>17</v>
      </c>
      <c r="F23" s="15" t="s">
        <v>604</v>
      </c>
      <c r="G23" s="15" t="s">
        <v>20</v>
      </c>
      <c r="H23" s="15" t="s">
        <v>21</v>
      </c>
      <c r="I23" s="16">
        <v>46163</v>
      </c>
      <c r="J23" s="16">
        <v>46164</v>
      </c>
      <c r="K23" s="17">
        <v>350</v>
      </c>
      <c r="L23" s="25" t="s">
        <v>605</v>
      </c>
      <c r="M23" s="15"/>
    </row>
  </sheetData>
  <mergeCells count="2">
    <mergeCell ref="A3:M3"/>
    <mergeCell ref="A7:M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615C1-39AE-403F-A998-087A23C66BDA}">
  <sheetPr>
    <tabColor rgb="FFFEDEF7"/>
  </sheetPr>
  <dimension ref="A2:M22"/>
  <sheetViews>
    <sheetView workbookViewId="0">
      <selection activeCell="H31" sqref="H31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35" t="s">
        <v>81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39" t="s">
        <v>2</v>
      </c>
      <c r="B6" s="7" t="s">
        <v>3</v>
      </c>
      <c r="C6" s="40" t="s">
        <v>4</v>
      </c>
      <c r="D6" s="7" t="s">
        <v>5</v>
      </c>
      <c r="E6" s="40" t="s">
        <v>6</v>
      </c>
      <c r="F6" s="7" t="s">
        <v>7</v>
      </c>
      <c r="G6" s="7" t="s">
        <v>8</v>
      </c>
      <c r="H6" s="40" t="s">
        <v>9</v>
      </c>
      <c r="I6" s="7" t="s">
        <v>10</v>
      </c>
      <c r="J6" s="40" t="s">
        <v>11</v>
      </c>
      <c r="K6" s="7" t="s">
        <v>12</v>
      </c>
      <c r="L6" s="7" t="s">
        <v>80</v>
      </c>
      <c r="M6" s="41" t="s">
        <v>14</v>
      </c>
    </row>
    <row r="7" spans="1:13" ht="16.5" thickBot="1" x14ac:dyDescent="0.3">
      <c r="A7" s="150" t="s">
        <v>42</v>
      </c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2"/>
    </row>
    <row r="8" spans="1:13" x14ac:dyDescent="0.25">
      <c r="A8" s="19">
        <v>1</v>
      </c>
      <c r="B8" s="19" t="s">
        <v>22</v>
      </c>
      <c r="C8" s="15" t="s">
        <v>606</v>
      </c>
      <c r="D8" s="19">
        <v>329597</v>
      </c>
      <c r="E8" s="19" t="s">
        <v>17</v>
      </c>
      <c r="F8" s="32" t="s">
        <v>608</v>
      </c>
      <c r="G8" s="19" t="s">
        <v>20</v>
      </c>
      <c r="H8" s="19" t="s">
        <v>19</v>
      </c>
      <c r="I8" s="20">
        <v>46170</v>
      </c>
      <c r="J8" s="20">
        <v>46174</v>
      </c>
      <c r="K8" s="21">
        <v>35000</v>
      </c>
      <c r="L8" s="28"/>
      <c r="M8" s="21"/>
    </row>
    <row r="9" spans="1:13" x14ac:dyDescent="0.25">
      <c r="A9" s="12">
        <v>2</v>
      </c>
      <c r="B9" s="12" t="s">
        <v>16</v>
      </c>
      <c r="C9" s="12" t="s">
        <v>607</v>
      </c>
      <c r="D9" s="12">
        <v>329652</v>
      </c>
      <c r="E9" s="12" t="s">
        <v>17</v>
      </c>
      <c r="F9" s="12" t="s">
        <v>609</v>
      </c>
      <c r="G9" s="12" t="s">
        <v>20</v>
      </c>
      <c r="H9" s="12" t="s">
        <v>19</v>
      </c>
      <c r="I9" s="13">
        <v>46171</v>
      </c>
      <c r="J9" s="13">
        <v>46174</v>
      </c>
      <c r="K9" s="14">
        <v>105000</v>
      </c>
      <c r="L9" s="42" t="s">
        <v>610</v>
      </c>
      <c r="M9" s="12"/>
    </row>
    <row r="10" spans="1:13" x14ac:dyDescent="0.25">
      <c r="A10" s="12">
        <v>3</v>
      </c>
      <c r="B10" s="12" t="s">
        <v>16</v>
      </c>
      <c r="C10" s="12" t="s">
        <v>611</v>
      </c>
      <c r="D10" s="12">
        <v>330031</v>
      </c>
      <c r="E10" s="12" t="s">
        <v>17</v>
      </c>
      <c r="F10" s="12" t="s">
        <v>612</v>
      </c>
      <c r="G10" s="12" t="s">
        <v>18</v>
      </c>
      <c r="H10" s="12" t="s">
        <v>19</v>
      </c>
      <c r="I10" s="13">
        <v>46172</v>
      </c>
      <c r="J10" s="13">
        <v>46176</v>
      </c>
      <c r="K10" s="14">
        <v>40000</v>
      </c>
      <c r="L10" s="26"/>
      <c r="M10" s="12"/>
    </row>
    <row r="11" spans="1:13" x14ac:dyDescent="0.25">
      <c r="A11" s="12">
        <v>4</v>
      </c>
      <c r="B11" s="12" t="s">
        <v>16</v>
      </c>
      <c r="C11" s="12" t="s">
        <v>613</v>
      </c>
      <c r="D11" s="12">
        <v>330105</v>
      </c>
      <c r="E11" s="12" t="s">
        <v>17</v>
      </c>
      <c r="F11" s="12" t="s">
        <v>614</v>
      </c>
      <c r="G11" s="12" t="s">
        <v>615</v>
      </c>
      <c r="H11" s="12" t="s">
        <v>616</v>
      </c>
      <c r="I11" s="13">
        <v>46174</v>
      </c>
      <c r="J11" s="13">
        <v>46176</v>
      </c>
      <c r="K11" s="14">
        <v>42500</v>
      </c>
      <c r="L11" s="26"/>
      <c r="M11" s="12"/>
    </row>
    <row r="12" spans="1:13" x14ac:dyDescent="0.25">
      <c r="A12" s="12">
        <v>5</v>
      </c>
      <c r="B12" s="12" t="s">
        <v>22</v>
      </c>
      <c r="C12" s="12" t="s">
        <v>617</v>
      </c>
      <c r="D12" s="12">
        <v>330246</v>
      </c>
      <c r="E12" s="12" t="s">
        <v>618</v>
      </c>
      <c r="F12" s="12" t="s">
        <v>452</v>
      </c>
      <c r="G12" s="12" t="s">
        <v>18</v>
      </c>
      <c r="H12" s="12" t="s">
        <v>19</v>
      </c>
      <c r="I12" s="13">
        <v>46176</v>
      </c>
      <c r="J12" s="13">
        <v>46177</v>
      </c>
      <c r="K12" s="14">
        <v>12000</v>
      </c>
      <c r="L12" s="26"/>
      <c r="M12" s="12"/>
    </row>
    <row r="13" spans="1:13" x14ac:dyDescent="0.25">
      <c r="A13" s="12">
        <v>6</v>
      </c>
      <c r="B13" s="12" t="s">
        <v>16</v>
      </c>
      <c r="C13" s="12" t="s">
        <v>620</v>
      </c>
      <c r="D13" s="12">
        <v>330785</v>
      </c>
      <c r="E13" s="12" t="s">
        <v>17</v>
      </c>
      <c r="F13" s="12" t="s">
        <v>621</v>
      </c>
      <c r="G13" s="12" t="s">
        <v>18</v>
      </c>
      <c r="H13" s="12" t="s">
        <v>19</v>
      </c>
      <c r="I13" s="13">
        <v>46169</v>
      </c>
      <c r="J13" s="13">
        <v>46184</v>
      </c>
      <c r="K13" s="14">
        <v>35000</v>
      </c>
      <c r="L13" s="26" t="s">
        <v>622</v>
      </c>
      <c r="M13" s="12"/>
    </row>
    <row r="14" spans="1:13" x14ac:dyDescent="0.25">
      <c r="A14" s="12">
        <v>7</v>
      </c>
      <c r="B14" s="12" t="s">
        <v>16</v>
      </c>
      <c r="C14" s="12" t="s">
        <v>623</v>
      </c>
      <c r="D14" s="12">
        <v>330825</v>
      </c>
      <c r="E14" s="12" t="s">
        <v>17</v>
      </c>
      <c r="F14" s="12" t="s">
        <v>548</v>
      </c>
      <c r="G14" s="12" t="s">
        <v>20</v>
      </c>
      <c r="H14" s="12" t="s">
        <v>19</v>
      </c>
      <c r="I14" s="13">
        <v>46181</v>
      </c>
      <c r="J14" s="13">
        <v>46184</v>
      </c>
      <c r="K14" s="14">
        <v>42000</v>
      </c>
      <c r="L14" s="26" t="s">
        <v>624</v>
      </c>
      <c r="M14" s="12"/>
    </row>
    <row r="15" spans="1:13" x14ac:dyDescent="0.25">
      <c r="A15" s="12">
        <v>8</v>
      </c>
      <c r="B15" s="15" t="s">
        <v>183</v>
      </c>
      <c r="C15" s="15" t="s">
        <v>625</v>
      </c>
      <c r="D15" s="15">
        <v>331615</v>
      </c>
      <c r="E15" s="15" t="s">
        <v>626</v>
      </c>
      <c r="F15" s="15" t="s">
        <v>627</v>
      </c>
      <c r="G15" s="15" t="s">
        <v>20</v>
      </c>
      <c r="H15" s="15" t="s">
        <v>19</v>
      </c>
      <c r="I15" s="16">
        <v>46185</v>
      </c>
      <c r="J15" s="16">
        <v>46185</v>
      </c>
      <c r="K15" s="17">
        <v>63000</v>
      </c>
      <c r="L15" s="25"/>
      <c r="M15" s="15"/>
    </row>
    <row r="16" spans="1:13" x14ac:dyDescent="0.25">
      <c r="A16" s="12">
        <v>9</v>
      </c>
      <c r="B16" s="15" t="s">
        <v>458</v>
      </c>
      <c r="C16" s="15" t="s">
        <v>628</v>
      </c>
      <c r="D16" s="15">
        <v>332160</v>
      </c>
      <c r="E16" s="15" t="s">
        <v>43</v>
      </c>
      <c r="F16" s="15" t="s">
        <v>373</v>
      </c>
      <c r="G16" s="15" t="s">
        <v>18</v>
      </c>
      <c r="H16" s="15" t="s">
        <v>19</v>
      </c>
      <c r="I16" s="16">
        <v>46167</v>
      </c>
      <c r="J16" s="16">
        <v>46189</v>
      </c>
      <c r="K16" s="17">
        <v>250000</v>
      </c>
      <c r="L16" s="25"/>
      <c r="M16" s="15"/>
    </row>
    <row r="17" spans="1:13" x14ac:dyDescent="0.25">
      <c r="A17" s="12">
        <v>10</v>
      </c>
      <c r="B17" s="15" t="s">
        <v>22</v>
      </c>
      <c r="C17" s="15" t="s">
        <v>629</v>
      </c>
      <c r="D17" s="15">
        <v>332328</v>
      </c>
      <c r="E17" s="15" t="s">
        <v>618</v>
      </c>
      <c r="F17" s="15" t="s">
        <v>532</v>
      </c>
      <c r="G17" s="15" t="s">
        <v>20</v>
      </c>
      <c r="H17" s="15" t="s">
        <v>21</v>
      </c>
      <c r="I17" s="16">
        <v>46187</v>
      </c>
      <c r="J17" s="16">
        <v>46189</v>
      </c>
      <c r="K17" s="17">
        <v>800</v>
      </c>
      <c r="L17" s="25"/>
      <c r="M17" s="15"/>
    </row>
    <row r="18" spans="1:13" x14ac:dyDescent="0.25">
      <c r="A18" s="12">
        <v>11</v>
      </c>
      <c r="B18" s="12" t="s">
        <v>22</v>
      </c>
      <c r="C18" s="12" t="s">
        <v>630</v>
      </c>
      <c r="D18" s="12">
        <v>332333</v>
      </c>
      <c r="E18" s="12" t="s">
        <v>17</v>
      </c>
      <c r="F18" s="12" t="s">
        <v>631</v>
      </c>
      <c r="G18" s="12" t="s">
        <v>20</v>
      </c>
      <c r="H18" s="12" t="s">
        <v>19</v>
      </c>
      <c r="I18" s="13">
        <v>46185</v>
      </c>
      <c r="J18" s="13">
        <v>46189</v>
      </c>
      <c r="K18" s="14">
        <v>55000</v>
      </c>
      <c r="L18" s="26" t="s">
        <v>634</v>
      </c>
      <c r="M18" s="12"/>
    </row>
    <row r="19" spans="1:13" x14ac:dyDescent="0.25">
      <c r="A19" s="12">
        <v>12</v>
      </c>
      <c r="B19" s="15" t="s">
        <v>183</v>
      </c>
      <c r="C19" s="15" t="s">
        <v>632</v>
      </c>
      <c r="D19" s="15">
        <v>332509</v>
      </c>
      <c r="E19" s="15" t="s">
        <v>17</v>
      </c>
      <c r="F19" s="15" t="s">
        <v>633</v>
      </c>
      <c r="G19" s="15" t="s">
        <v>18</v>
      </c>
      <c r="H19" s="15" t="s">
        <v>19</v>
      </c>
      <c r="I19" s="16">
        <v>46191</v>
      </c>
      <c r="J19" s="16">
        <v>46191</v>
      </c>
      <c r="K19" s="17">
        <v>35000</v>
      </c>
      <c r="L19" s="25"/>
      <c r="M19" s="15"/>
    </row>
    <row r="20" spans="1:13" x14ac:dyDescent="0.25">
      <c r="A20" s="12"/>
      <c r="B20" s="15"/>
      <c r="C20" s="15"/>
      <c r="D20" s="15"/>
      <c r="E20" s="15"/>
      <c r="F20" s="15"/>
      <c r="G20" s="15"/>
      <c r="H20" s="15"/>
      <c r="I20" s="16"/>
      <c r="J20" s="16"/>
      <c r="K20" s="17"/>
      <c r="L20" s="25"/>
      <c r="M20" s="15"/>
    </row>
    <row r="21" spans="1:13" x14ac:dyDescent="0.25">
      <c r="A21" s="12"/>
      <c r="B21" s="15"/>
      <c r="C21" s="15"/>
      <c r="D21" s="15"/>
      <c r="E21" s="15"/>
      <c r="F21" s="15"/>
      <c r="G21" s="15"/>
      <c r="H21" s="15"/>
      <c r="I21" s="16"/>
      <c r="J21" s="16"/>
      <c r="K21" s="17"/>
      <c r="L21" s="25"/>
      <c r="M21" s="15"/>
    </row>
    <row r="22" spans="1:13" x14ac:dyDescent="0.25">
      <c r="A22" s="12"/>
      <c r="B22" s="15"/>
      <c r="C22" s="15"/>
      <c r="D22" s="15"/>
      <c r="E22" s="15"/>
      <c r="F22" s="15"/>
      <c r="G22" s="15"/>
      <c r="H22" s="15"/>
      <c r="I22" s="16"/>
      <c r="J22" s="16"/>
      <c r="K22" s="17"/>
      <c r="L22" s="25"/>
      <c r="M22" s="15"/>
    </row>
  </sheetData>
  <mergeCells count="2">
    <mergeCell ref="A3:M3"/>
    <mergeCell ref="A7:M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FDC7-386C-483E-BA40-6E5BC68AB974}">
  <sheetPr>
    <tabColor rgb="FFFEDEF7"/>
  </sheetPr>
  <dimension ref="A2:M30"/>
  <sheetViews>
    <sheetView workbookViewId="0">
      <selection activeCell="J8" sqref="J8:K8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35" t="s">
        <v>81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39" t="s">
        <v>2</v>
      </c>
      <c r="B6" s="7" t="s">
        <v>3</v>
      </c>
      <c r="C6" s="40" t="s">
        <v>4</v>
      </c>
      <c r="D6" s="7" t="s">
        <v>5</v>
      </c>
      <c r="E6" s="40" t="s">
        <v>6</v>
      </c>
      <c r="F6" s="7" t="s">
        <v>7</v>
      </c>
      <c r="G6" s="7" t="s">
        <v>8</v>
      </c>
      <c r="H6" s="40" t="s">
        <v>9</v>
      </c>
      <c r="I6" s="7" t="s">
        <v>10</v>
      </c>
      <c r="J6" s="40" t="s">
        <v>11</v>
      </c>
      <c r="K6" s="7" t="s">
        <v>12</v>
      </c>
      <c r="L6" s="7" t="s">
        <v>80</v>
      </c>
      <c r="M6" s="41" t="s">
        <v>14</v>
      </c>
    </row>
    <row r="7" spans="1:13" ht="15.75" x14ac:dyDescent="0.25">
      <c r="A7" s="178" t="s">
        <v>49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80"/>
    </row>
    <row r="8" spans="1:13" x14ac:dyDescent="0.25">
      <c r="A8" s="12">
        <v>1</v>
      </c>
      <c r="B8" s="15" t="s">
        <v>183</v>
      </c>
      <c r="C8" s="15" t="s">
        <v>635</v>
      </c>
      <c r="D8" s="12">
        <v>335356</v>
      </c>
      <c r="E8" s="12" t="s">
        <v>24</v>
      </c>
      <c r="F8" s="12" t="s">
        <v>340</v>
      </c>
      <c r="G8" s="12" t="s">
        <v>18</v>
      </c>
      <c r="H8" s="12" t="s">
        <v>19</v>
      </c>
      <c r="I8" s="13">
        <v>46210</v>
      </c>
      <c r="J8" s="13">
        <v>46210</v>
      </c>
      <c r="K8" s="14">
        <v>38000</v>
      </c>
      <c r="L8" s="42"/>
      <c r="M8" s="14"/>
    </row>
    <row r="9" spans="1:13" x14ac:dyDescent="0.25">
      <c r="A9" s="12">
        <v>2</v>
      </c>
      <c r="B9" s="15" t="s">
        <v>458</v>
      </c>
      <c r="C9" s="12" t="s">
        <v>636</v>
      </c>
      <c r="D9" s="12">
        <v>336547</v>
      </c>
      <c r="E9" s="12" t="s">
        <v>17</v>
      </c>
      <c r="F9" s="12" t="s">
        <v>637</v>
      </c>
      <c r="G9" s="12" t="s">
        <v>20</v>
      </c>
      <c r="H9" s="12" t="s">
        <v>19</v>
      </c>
      <c r="I9" s="13">
        <v>46224</v>
      </c>
      <c r="J9" s="13">
        <v>46224</v>
      </c>
      <c r="K9" s="14">
        <v>35000</v>
      </c>
      <c r="L9" s="42"/>
      <c r="M9" s="12"/>
    </row>
    <row r="10" spans="1:13" x14ac:dyDescent="0.25">
      <c r="A10" s="12">
        <v>3</v>
      </c>
      <c r="B10" s="12" t="s">
        <v>16</v>
      </c>
      <c r="C10" s="12" t="s">
        <v>638</v>
      </c>
      <c r="D10" s="12">
        <v>337742</v>
      </c>
      <c r="E10" s="12" t="s">
        <v>17</v>
      </c>
      <c r="F10" s="12" t="s">
        <v>396</v>
      </c>
      <c r="G10" s="12" t="s">
        <v>20</v>
      </c>
      <c r="H10" s="12" t="s">
        <v>19</v>
      </c>
      <c r="I10" s="13">
        <v>46231</v>
      </c>
      <c r="J10" s="13">
        <v>46233</v>
      </c>
      <c r="K10" s="14">
        <v>42000</v>
      </c>
      <c r="L10" s="26"/>
      <c r="M10" s="12"/>
    </row>
    <row r="11" spans="1:13" x14ac:dyDescent="0.25">
      <c r="A11" s="12"/>
      <c r="B11" s="12"/>
      <c r="C11" s="12"/>
      <c r="D11" s="12"/>
      <c r="E11" s="12"/>
      <c r="F11" s="12"/>
      <c r="G11" s="12"/>
      <c r="H11" s="12"/>
      <c r="I11" s="13"/>
      <c r="J11" s="13"/>
      <c r="K11" s="14"/>
      <c r="L11" s="26"/>
      <c r="M11" s="12"/>
    </row>
    <row r="12" spans="1:13" x14ac:dyDescent="0.25">
      <c r="A12" s="12"/>
      <c r="B12" s="12"/>
      <c r="C12" s="12"/>
      <c r="D12" s="12"/>
      <c r="E12" s="12"/>
      <c r="F12" s="12"/>
      <c r="G12" s="12"/>
      <c r="H12" s="12"/>
      <c r="I12" s="13"/>
      <c r="J12" s="13"/>
      <c r="K12" s="14"/>
      <c r="L12" s="26"/>
      <c r="M12" s="12"/>
    </row>
    <row r="13" spans="1:13" x14ac:dyDescent="0.25">
      <c r="A13" s="12"/>
      <c r="B13" s="12"/>
      <c r="C13" s="12"/>
      <c r="D13" s="12"/>
      <c r="E13" s="71"/>
      <c r="F13" s="71"/>
      <c r="G13" s="12"/>
      <c r="H13" s="12"/>
      <c r="I13" s="13"/>
      <c r="J13" s="13"/>
      <c r="K13" s="14"/>
      <c r="L13" s="26"/>
      <c r="M13" s="12"/>
    </row>
    <row r="14" spans="1:13" x14ac:dyDescent="0.25">
      <c r="A14" s="12"/>
      <c r="B14" s="12"/>
      <c r="C14" s="12"/>
      <c r="D14" s="12"/>
      <c r="E14" s="22"/>
      <c r="F14" s="12"/>
      <c r="G14" s="12"/>
      <c r="H14" s="12"/>
      <c r="I14" s="13"/>
      <c r="J14" s="13"/>
      <c r="K14" s="14"/>
      <c r="L14" s="26"/>
      <c r="M14" s="12"/>
    </row>
    <row r="15" spans="1:13" x14ac:dyDescent="0.25">
      <c r="A15" s="12"/>
      <c r="B15" s="15"/>
      <c r="C15" s="15"/>
      <c r="D15" s="15"/>
      <c r="E15" s="44"/>
      <c r="F15" s="15"/>
      <c r="G15" s="15"/>
      <c r="H15" s="15"/>
      <c r="I15" s="16"/>
      <c r="J15" s="16"/>
      <c r="K15" s="17"/>
      <c r="L15" s="25"/>
      <c r="M15" s="15"/>
    </row>
    <row r="16" spans="1:13" x14ac:dyDescent="0.25">
      <c r="A16" s="12"/>
      <c r="B16" s="15"/>
      <c r="C16" s="15"/>
      <c r="D16" s="15"/>
      <c r="E16" s="15"/>
      <c r="F16" s="15"/>
      <c r="G16" s="15"/>
      <c r="H16" s="15"/>
      <c r="I16" s="16"/>
      <c r="J16" s="16"/>
      <c r="K16" s="17"/>
      <c r="L16" s="25"/>
      <c r="M16" s="15"/>
    </row>
    <row r="17" spans="1:13" x14ac:dyDescent="0.25">
      <c r="A17" s="12"/>
      <c r="B17" s="15"/>
      <c r="C17" s="15"/>
      <c r="D17" s="15"/>
      <c r="E17" s="15"/>
      <c r="F17" s="15"/>
      <c r="G17" s="15"/>
      <c r="H17" s="15"/>
      <c r="I17" s="16"/>
      <c r="J17" s="16"/>
      <c r="K17" s="17"/>
      <c r="L17" s="25"/>
      <c r="M17" s="15"/>
    </row>
    <row r="18" spans="1:13" x14ac:dyDescent="0.25">
      <c r="A18" s="12"/>
      <c r="B18" s="12"/>
      <c r="C18" s="12"/>
      <c r="D18" s="12"/>
      <c r="E18" s="12"/>
      <c r="F18" s="12"/>
      <c r="G18" s="12"/>
      <c r="H18" s="12"/>
      <c r="I18" s="13"/>
      <c r="J18" s="13"/>
      <c r="K18" s="14"/>
      <c r="L18" s="26"/>
      <c r="M18" s="12"/>
    </row>
    <row r="19" spans="1:13" x14ac:dyDescent="0.25">
      <c r="A19" s="12"/>
      <c r="B19" s="15"/>
      <c r="C19" s="15"/>
      <c r="D19" s="15"/>
      <c r="E19" s="15"/>
      <c r="F19" s="15"/>
      <c r="G19" s="15"/>
      <c r="H19" s="15"/>
      <c r="I19" s="16"/>
      <c r="J19" s="16"/>
      <c r="K19" s="17"/>
      <c r="L19" s="25"/>
      <c r="M19" s="15"/>
    </row>
    <row r="20" spans="1:13" x14ac:dyDescent="0.25">
      <c r="A20" s="12"/>
      <c r="B20" s="15"/>
      <c r="C20" s="15"/>
      <c r="D20" s="15"/>
      <c r="E20" s="15"/>
      <c r="F20" s="15"/>
      <c r="G20" s="15"/>
      <c r="H20" s="15"/>
      <c r="I20" s="16"/>
      <c r="J20" s="16"/>
      <c r="K20" s="17"/>
      <c r="L20" s="25"/>
      <c r="M20" s="15"/>
    </row>
    <row r="21" spans="1:13" x14ac:dyDescent="0.25">
      <c r="A21" s="12"/>
      <c r="B21" s="15"/>
      <c r="C21" s="15"/>
      <c r="D21" s="15"/>
      <c r="E21" s="15"/>
      <c r="F21" s="15"/>
      <c r="G21" s="15"/>
      <c r="H21" s="15"/>
      <c r="I21" s="16"/>
      <c r="J21" s="16"/>
      <c r="K21" s="17"/>
      <c r="L21" s="25"/>
      <c r="M21" s="15"/>
    </row>
    <row r="22" spans="1:13" x14ac:dyDescent="0.25">
      <c r="A22" s="12"/>
      <c r="B22" s="15"/>
      <c r="C22" s="15"/>
      <c r="D22" s="15"/>
      <c r="E22" s="15"/>
      <c r="F22" s="15"/>
      <c r="G22" s="15"/>
      <c r="H22" s="15"/>
      <c r="I22" s="16"/>
      <c r="J22" s="16"/>
      <c r="K22" s="17"/>
      <c r="L22" s="25"/>
      <c r="M22" s="15"/>
    </row>
    <row r="23" spans="1:13" x14ac:dyDescent="0.25">
      <c r="A23" s="15"/>
      <c r="B23" s="15"/>
      <c r="C23" s="15"/>
      <c r="D23" s="15"/>
      <c r="E23" s="15"/>
      <c r="F23" s="15"/>
      <c r="G23" s="15"/>
      <c r="H23" s="15"/>
      <c r="I23" s="16"/>
      <c r="J23" s="16"/>
      <c r="K23" s="17"/>
      <c r="L23" s="25"/>
      <c r="M23" s="15"/>
    </row>
    <row r="24" spans="1:13" x14ac:dyDescent="0.25">
      <c r="A24" s="15"/>
      <c r="B24" s="15"/>
      <c r="C24" s="15"/>
      <c r="D24" s="15"/>
      <c r="E24" s="15"/>
      <c r="F24" s="15"/>
      <c r="G24" s="15"/>
      <c r="H24" s="15"/>
      <c r="I24" s="16"/>
      <c r="J24" s="16"/>
      <c r="K24" s="17"/>
      <c r="L24" s="25"/>
      <c r="M24" s="15"/>
    </row>
    <row r="25" spans="1:13" x14ac:dyDescent="0.25">
      <c r="A25" s="15"/>
      <c r="B25" s="15"/>
      <c r="C25" s="15"/>
      <c r="D25" s="15"/>
      <c r="E25" s="15"/>
      <c r="F25" s="15"/>
      <c r="G25" s="15"/>
      <c r="H25" s="15"/>
      <c r="I25" s="16"/>
      <c r="J25" s="16"/>
      <c r="K25" s="17"/>
      <c r="L25" s="25"/>
      <c r="M25" s="15"/>
    </row>
    <row r="26" spans="1:13" x14ac:dyDescent="0.25">
      <c r="A26" s="15"/>
      <c r="B26" s="15"/>
      <c r="C26" s="15"/>
      <c r="D26" s="15"/>
      <c r="E26" s="15"/>
      <c r="F26" s="15"/>
      <c r="G26" s="15"/>
      <c r="H26" s="15"/>
      <c r="I26" s="16"/>
      <c r="J26" s="16"/>
      <c r="K26" s="17"/>
      <c r="L26" s="25"/>
      <c r="M26" s="15"/>
    </row>
    <row r="27" spans="1:13" x14ac:dyDescent="0.25">
      <c r="A27" s="15"/>
      <c r="B27" s="15"/>
      <c r="C27" s="15"/>
      <c r="D27" s="15"/>
      <c r="E27" s="15"/>
      <c r="F27" s="15"/>
      <c r="G27" s="15"/>
      <c r="H27" s="15"/>
      <c r="I27" s="13"/>
      <c r="J27" s="13"/>
      <c r="K27" s="17"/>
      <c r="L27" s="26"/>
      <c r="M27" s="12"/>
    </row>
    <row r="28" spans="1:13" x14ac:dyDescent="0.25">
      <c r="A28" s="15"/>
      <c r="B28" s="15"/>
      <c r="C28" s="15"/>
      <c r="D28" s="15"/>
      <c r="E28" s="15"/>
      <c r="F28" s="15"/>
      <c r="G28" s="15"/>
      <c r="H28" s="15"/>
      <c r="I28" s="13"/>
      <c r="J28" s="13"/>
      <c r="K28" s="17"/>
      <c r="L28" s="24"/>
      <c r="M28" s="24"/>
    </row>
    <row r="29" spans="1:13" x14ac:dyDescent="0.25">
      <c r="A29" s="15"/>
      <c r="B29" s="15"/>
      <c r="C29" s="15"/>
      <c r="D29" s="15"/>
      <c r="E29" s="15"/>
      <c r="F29" s="15"/>
      <c r="G29" s="15"/>
      <c r="H29" s="15"/>
      <c r="I29" s="13"/>
      <c r="J29" s="13"/>
      <c r="K29" s="14"/>
      <c r="L29" s="24"/>
      <c r="M29" s="24"/>
    </row>
    <row r="30" spans="1:13" x14ac:dyDescent="0.25">
      <c r="A30" s="15"/>
      <c r="B30" s="15"/>
      <c r="C30" s="15"/>
      <c r="D30" s="15"/>
      <c r="E30" s="15"/>
      <c r="F30" s="15"/>
      <c r="G30" s="15"/>
      <c r="H30" s="15"/>
      <c r="I30" s="13"/>
      <c r="J30" s="13"/>
      <c r="K30" s="14"/>
      <c r="L30" s="27"/>
      <c r="M30" s="24"/>
    </row>
  </sheetData>
  <mergeCells count="2">
    <mergeCell ref="A3:M3"/>
    <mergeCell ref="A7:M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4181-069A-4FD4-8F4C-91CAFC971880}">
  <sheetPr>
    <tabColor rgb="FFFEDEF7"/>
  </sheetPr>
  <dimension ref="A2:M13"/>
  <sheetViews>
    <sheetView workbookViewId="0">
      <selection activeCell="C13" sqref="C13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35" t="s">
        <v>81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39" t="s">
        <v>2</v>
      </c>
      <c r="B6" s="7" t="s">
        <v>3</v>
      </c>
      <c r="C6" s="40" t="s">
        <v>4</v>
      </c>
      <c r="D6" s="7" t="s">
        <v>5</v>
      </c>
      <c r="E6" s="40" t="s">
        <v>6</v>
      </c>
      <c r="F6" s="7" t="s">
        <v>7</v>
      </c>
      <c r="G6" s="7" t="s">
        <v>8</v>
      </c>
      <c r="H6" s="40" t="s">
        <v>9</v>
      </c>
      <c r="I6" s="7" t="s">
        <v>10</v>
      </c>
      <c r="J6" s="40" t="s">
        <v>11</v>
      </c>
      <c r="K6" s="7" t="s">
        <v>12</v>
      </c>
      <c r="L6" s="7" t="s">
        <v>80</v>
      </c>
      <c r="M6" s="41" t="s">
        <v>14</v>
      </c>
    </row>
    <row r="7" spans="1:13" ht="15.75" x14ac:dyDescent="0.25">
      <c r="A7" s="178" t="s">
        <v>52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80"/>
    </row>
    <row r="8" spans="1:13" x14ac:dyDescent="0.25">
      <c r="A8" s="12">
        <v>1</v>
      </c>
      <c r="B8" s="12" t="s">
        <v>22</v>
      </c>
      <c r="C8" s="12" t="s">
        <v>643</v>
      </c>
      <c r="D8" s="12">
        <v>338632</v>
      </c>
      <c r="E8" s="12" t="s">
        <v>17</v>
      </c>
      <c r="F8" s="12" t="s">
        <v>28</v>
      </c>
      <c r="G8" s="12" t="s">
        <v>18</v>
      </c>
      <c r="H8" s="12" t="s">
        <v>19</v>
      </c>
      <c r="I8" s="13">
        <v>46221</v>
      </c>
      <c r="J8" s="13">
        <v>46221</v>
      </c>
      <c r="K8" s="14">
        <v>36000</v>
      </c>
      <c r="L8" s="42"/>
      <c r="M8" s="14"/>
    </row>
    <row r="9" spans="1:13" x14ac:dyDescent="0.25">
      <c r="A9" s="12">
        <v>2</v>
      </c>
      <c r="B9" s="12" t="s">
        <v>22</v>
      </c>
      <c r="C9" s="12" t="s">
        <v>644</v>
      </c>
      <c r="D9" s="12">
        <v>338646</v>
      </c>
      <c r="E9" s="12" t="s">
        <v>645</v>
      </c>
      <c r="F9" s="12" t="s">
        <v>646</v>
      </c>
      <c r="G9" s="12" t="s">
        <v>20</v>
      </c>
      <c r="H9" s="12" t="s">
        <v>21</v>
      </c>
      <c r="I9" s="13">
        <v>46235</v>
      </c>
      <c r="J9" s="13">
        <v>46235</v>
      </c>
      <c r="K9" s="14">
        <v>4000</v>
      </c>
      <c r="L9" s="42" t="s">
        <v>67</v>
      </c>
      <c r="M9" s="12"/>
    </row>
    <row r="10" spans="1:13" x14ac:dyDescent="0.25">
      <c r="A10" s="12">
        <v>3</v>
      </c>
      <c r="B10" s="12" t="s">
        <v>16</v>
      </c>
      <c r="C10" s="12" t="s">
        <v>652</v>
      </c>
      <c r="D10" s="12">
        <v>339534</v>
      </c>
      <c r="E10" s="12" t="s">
        <v>43</v>
      </c>
      <c r="F10" s="12" t="s">
        <v>654</v>
      </c>
      <c r="G10" s="12" t="s">
        <v>20</v>
      </c>
      <c r="H10" s="12" t="s">
        <v>19</v>
      </c>
      <c r="I10" s="13">
        <v>46247</v>
      </c>
      <c r="J10" s="13">
        <v>46252</v>
      </c>
      <c r="K10" s="14">
        <v>120000</v>
      </c>
      <c r="L10" s="26"/>
      <c r="M10" s="12"/>
    </row>
    <row r="11" spans="1:13" x14ac:dyDescent="0.25">
      <c r="A11" s="12">
        <v>4</v>
      </c>
      <c r="B11" s="12" t="s">
        <v>16</v>
      </c>
      <c r="C11" s="12" t="s">
        <v>653</v>
      </c>
      <c r="D11" s="12">
        <v>321806</v>
      </c>
      <c r="E11" s="12" t="s">
        <v>24</v>
      </c>
      <c r="F11" s="12" t="s">
        <v>534</v>
      </c>
      <c r="G11" s="12" t="s">
        <v>20</v>
      </c>
      <c r="H11" s="12" t="s">
        <v>19</v>
      </c>
      <c r="I11" s="13">
        <v>46105</v>
      </c>
      <c r="J11" s="13">
        <v>46252</v>
      </c>
      <c r="K11" s="14">
        <v>160000</v>
      </c>
      <c r="L11" s="26"/>
      <c r="M11" s="12"/>
    </row>
    <row r="12" spans="1:13" x14ac:dyDescent="0.25">
      <c r="A12" s="12">
        <v>5</v>
      </c>
      <c r="B12" s="12" t="s">
        <v>265</v>
      </c>
      <c r="C12" s="12" t="s">
        <v>659</v>
      </c>
      <c r="D12" s="12">
        <v>341230</v>
      </c>
      <c r="E12" s="12" t="s">
        <v>17</v>
      </c>
      <c r="F12" s="49" t="s">
        <v>139</v>
      </c>
      <c r="G12" s="12" t="s">
        <v>18</v>
      </c>
      <c r="H12" s="12" t="s">
        <v>21</v>
      </c>
      <c r="I12" s="13">
        <v>46262</v>
      </c>
      <c r="J12" s="13">
        <v>46262</v>
      </c>
      <c r="K12" s="14">
        <v>300</v>
      </c>
      <c r="L12" s="26"/>
      <c r="M12" s="12"/>
    </row>
    <row r="13" spans="1:13" x14ac:dyDescent="0.25">
      <c r="A13" s="12">
        <v>6</v>
      </c>
      <c r="B13" s="12" t="s">
        <v>265</v>
      </c>
      <c r="C13" s="12" t="s">
        <v>669</v>
      </c>
      <c r="D13" s="12">
        <v>341269</v>
      </c>
      <c r="E13" s="12" t="s">
        <v>32</v>
      </c>
      <c r="F13" s="12" t="s">
        <v>651</v>
      </c>
      <c r="G13" s="12" t="s">
        <v>18</v>
      </c>
      <c r="H13" s="12" t="s">
        <v>19</v>
      </c>
      <c r="I13" s="13">
        <v>46262</v>
      </c>
      <c r="J13" s="13">
        <v>46262</v>
      </c>
      <c r="K13" s="14">
        <v>70000</v>
      </c>
      <c r="L13" s="26" t="s">
        <v>67</v>
      </c>
      <c r="M13" s="12"/>
    </row>
  </sheetData>
  <mergeCells count="2">
    <mergeCell ref="A3:M3"/>
    <mergeCell ref="A7:M7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1F45-EDAD-41F9-BBB2-2B20B3CA30A6}">
  <sheetPr>
    <tabColor rgb="FFFEDEF7"/>
  </sheetPr>
  <dimension ref="A2:M29"/>
  <sheetViews>
    <sheetView tabSelected="1" workbookViewId="0">
      <selection activeCell="L17" sqref="L17"/>
    </sheetView>
  </sheetViews>
  <sheetFormatPr baseColWidth="10" defaultRowHeight="15" x14ac:dyDescent="0.25"/>
  <cols>
    <col min="1" max="1" width="6.42578125" customWidth="1"/>
    <col min="2" max="2" width="20.7109375" bestFit="1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35" t="s">
        <v>81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39" t="s">
        <v>2</v>
      </c>
      <c r="B6" s="7" t="s">
        <v>3</v>
      </c>
      <c r="C6" s="40" t="s">
        <v>4</v>
      </c>
      <c r="D6" s="7" t="s">
        <v>5</v>
      </c>
      <c r="E6" s="40" t="s">
        <v>6</v>
      </c>
      <c r="F6" s="7" t="s">
        <v>7</v>
      </c>
      <c r="G6" s="7" t="s">
        <v>8</v>
      </c>
      <c r="H6" s="40" t="s">
        <v>9</v>
      </c>
      <c r="I6" s="7" t="s">
        <v>10</v>
      </c>
      <c r="J6" s="40" t="s">
        <v>11</v>
      </c>
      <c r="K6" s="7" t="s">
        <v>12</v>
      </c>
      <c r="L6" s="7" t="s">
        <v>80</v>
      </c>
      <c r="M6" s="41" t="s">
        <v>14</v>
      </c>
    </row>
    <row r="7" spans="1:13" ht="15.75" x14ac:dyDescent="0.25">
      <c r="A7" s="178" t="s">
        <v>55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80"/>
    </row>
    <row r="8" spans="1:13" x14ac:dyDescent="0.25">
      <c r="A8" s="12">
        <v>1</v>
      </c>
      <c r="B8" s="12" t="s">
        <v>183</v>
      </c>
      <c r="C8" s="12" t="s">
        <v>672</v>
      </c>
      <c r="D8" s="12">
        <v>341692</v>
      </c>
      <c r="E8" s="12" t="s">
        <v>17</v>
      </c>
      <c r="F8" s="12" t="s">
        <v>271</v>
      </c>
      <c r="G8" s="12" t="s">
        <v>18</v>
      </c>
      <c r="H8" s="12" t="s">
        <v>19</v>
      </c>
      <c r="I8" s="13">
        <v>46263</v>
      </c>
      <c r="J8" s="13">
        <v>46267</v>
      </c>
      <c r="K8" s="14">
        <v>37500</v>
      </c>
      <c r="L8" s="42" t="s">
        <v>670</v>
      </c>
      <c r="M8" s="14"/>
    </row>
    <row r="9" spans="1:13" x14ac:dyDescent="0.25">
      <c r="A9" s="12">
        <v>2</v>
      </c>
      <c r="B9" s="12" t="s">
        <v>16</v>
      </c>
      <c r="C9" s="12" t="s">
        <v>673</v>
      </c>
      <c r="D9" s="12">
        <v>342418</v>
      </c>
      <c r="E9" s="12" t="s">
        <v>17</v>
      </c>
      <c r="F9" s="22" t="s">
        <v>676</v>
      </c>
      <c r="G9" s="12" t="s">
        <v>18</v>
      </c>
      <c r="H9" s="12" t="s">
        <v>19</v>
      </c>
      <c r="I9" s="13">
        <v>46268</v>
      </c>
      <c r="J9" s="13">
        <v>46270</v>
      </c>
      <c r="K9" s="14">
        <v>70000</v>
      </c>
      <c r="L9" s="42"/>
      <c r="M9" s="12"/>
    </row>
    <row r="10" spans="1:13" x14ac:dyDescent="0.25">
      <c r="A10" s="12">
        <v>3</v>
      </c>
      <c r="B10" s="12" t="s">
        <v>671</v>
      </c>
      <c r="C10" s="12" t="s">
        <v>674</v>
      </c>
      <c r="D10" s="12">
        <v>342493</v>
      </c>
      <c r="E10" s="12" t="s">
        <v>23</v>
      </c>
      <c r="F10" s="12" t="s">
        <v>675</v>
      </c>
      <c r="G10" s="12" t="s">
        <v>20</v>
      </c>
      <c r="H10" s="12" t="s">
        <v>19</v>
      </c>
      <c r="I10" s="13">
        <v>46269</v>
      </c>
      <c r="J10" s="13"/>
      <c r="K10" s="14">
        <v>60000</v>
      </c>
      <c r="L10" s="26"/>
      <c r="M10" s="12"/>
    </row>
    <row r="11" spans="1:13" x14ac:dyDescent="0.25">
      <c r="A11" s="12">
        <v>4</v>
      </c>
      <c r="B11" s="12" t="s">
        <v>671</v>
      </c>
      <c r="C11" s="12" t="s">
        <v>677</v>
      </c>
      <c r="D11" s="12">
        <v>342516</v>
      </c>
      <c r="E11" s="22" t="s">
        <v>27</v>
      </c>
      <c r="F11" s="12" t="s">
        <v>678</v>
      </c>
      <c r="G11" s="12" t="s">
        <v>20</v>
      </c>
      <c r="H11" s="12" t="s">
        <v>19</v>
      </c>
      <c r="I11" s="13">
        <v>46269</v>
      </c>
      <c r="J11" s="13">
        <v>46287</v>
      </c>
      <c r="K11" s="14">
        <v>90000</v>
      </c>
      <c r="L11" s="26"/>
      <c r="M11" s="12"/>
    </row>
    <row r="12" spans="1:13" x14ac:dyDescent="0.25">
      <c r="A12" s="12">
        <v>5</v>
      </c>
      <c r="B12" s="12" t="s">
        <v>572</v>
      </c>
      <c r="C12" s="12" t="s">
        <v>680</v>
      </c>
      <c r="D12" s="12">
        <v>343518</v>
      </c>
      <c r="E12" s="12" t="s">
        <v>24</v>
      </c>
      <c r="F12" s="12" t="s">
        <v>681</v>
      </c>
      <c r="G12" s="12" t="s">
        <v>20</v>
      </c>
      <c r="H12" s="12" t="s">
        <v>19</v>
      </c>
      <c r="I12" s="13">
        <v>46279</v>
      </c>
      <c r="J12" s="13">
        <v>46287</v>
      </c>
      <c r="K12" s="14">
        <v>48000</v>
      </c>
      <c r="L12" s="26"/>
      <c r="M12" s="12"/>
    </row>
    <row r="13" spans="1:13" x14ac:dyDescent="0.25">
      <c r="A13" s="12">
        <v>6</v>
      </c>
      <c r="B13" s="12" t="s">
        <v>671</v>
      </c>
      <c r="C13" s="12" t="s">
        <v>682</v>
      </c>
      <c r="D13" s="12">
        <v>343786</v>
      </c>
      <c r="E13" s="12" t="s">
        <v>41</v>
      </c>
      <c r="F13" s="12" t="s">
        <v>683</v>
      </c>
      <c r="G13" s="12" t="s">
        <v>18</v>
      </c>
      <c r="H13" s="12" t="s">
        <v>19</v>
      </c>
      <c r="I13" s="13">
        <v>46282</v>
      </c>
      <c r="J13" s="13">
        <v>46287</v>
      </c>
      <c r="K13" s="14">
        <v>60000</v>
      </c>
      <c r="L13" s="26" t="s">
        <v>684</v>
      </c>
      <c r="M13" s="12"/>
    </row>
    <row r="14" spans="1:13" x14ac:dyDescent="0.25">
      <c r="A14" s="12">
        <v>7</v>
      </c>
      <c r="B14" s="12" t="s">
        <v>671</v>
      </c>
      <c r="C14" s="12" t="s">
        <v>685</v>
      </c>
      <c r="D14" s="12">
        <v>343927</v>
      </c>
      <c r="E14" s="12" t="s">
        <v>41</v>
      </c>
      <c r="F14" s="12" t="s">
        <v>686</v>
      </c>
      <c r="G14" s="12" t="s">
        <v>18</v>
      </c>
      <c r="H14" s="12" t="s">
        <v>19</v>
      </c>
      <c r="I14" s="13">
        <v>46283</v>
      </c>
      <c r="J14" s="13">
        <v>46287</v>
      </c>
      <c r="K14" s="14">
        <v>24000</v>
      </c>
      <c r="L14" s="26"/>
      <c r="M14" s="12"/>
    </row>
    <row r="15" spans="1:13" x14ac:dyDescent="0.25">
      <c r="A15" s="12">
        <v>8</v>
      </c>
      <c r="B15" s="15" t="s">
        <v>183</v>
      </c>
      <c r="C15" s="15" t="s">
        <v>687</v>
      </c>
      <c r="D15" s="15">
        <v>344090</v>
      </c>
      <c r="E15" s="15" t="s">
        <v>17</v>
      </c>
      <c r="F15" s="15" t="s">
        <v>491</v>
      </c>
      <c r="G15" s="15" t="s">
        <v>18</v>
      </c>
      <c r="H15" s="15" t="s">
        <v>19</v>
      </c>
      <c r="I15" s="16">
        <v>46284</v>
      </c>
      <c r="J15" s="16">
        <v>46287</v>
      </c>
      <c r="K15" s="17">
        <v>41000</v>
      </c>
      <c r="L15" s="25"/>
      <c r="M15" s="15"/>
    </row>
    <row r="16" spans="1:13" x14ac:dyDescent="0.25">
      <c r="A16" s="12">
        <v>9</v>
      </c>
      <c r="B16" s="15" t="s">
        <v>22</v>
      </c>
      <c r="C16" s="15" t="s">
        <v>688</v>
      </c>
      <c r="D16" s="15">
        <v>344484</v>
      </c>
      <c r="E16" s="15" t="s">
        <v>41</v>
      </c>
      <c r="F16" s="15" t="s">
        <v>432</v>
      </c>
      <c r="G16" s="15" t="s">
        <v>18</v>
      </c>
      <c r="H16" s="15" t="s">
        <v>19</v>
      </c>
      <c r="I16" s="16">
        <v>46275</v>
      </c>
      <c r="J16" s="16"/>
      <c r="K16" s="17">
        <v>130000</v>
      </c>
      <c r="L16" s="25" t="s">
        <v>689</v>
      </c>
      <c r="M16" s="15"/>
    </row>
    <row r="17" spans="1:13" x14ac:dyDescent="0.25">
      <c r="A17" s="12">
        <v>10</v>
      </c>
      <c r="B17" s="15" t="s">
        <v>690</v>
      </c>
      <c r="C17" s="15" t="s">
        <v>691</v>
      </c>
      <c r="D17" s="15">
        <v>344839</v>
      </c>
      <c r="E17" s="15" t="s">
        <v>17</v>
      </c>
      <c r="F17" s="15" t="s">
        <v>692</v>
      </c>
      <c r="G17" s="15" t="s">
        <v>18</v>
      </c>
      <c r="H17" s="15" t="s">
        <v>19</v>
      </c>
      <c r="I17" s="16">
        <v>46289</v>
      </c>
      <c r="J17" s="16"/>
      <c r="K17" s="17">
        <v>40000</v>
      </c>
      <c r="L17" s="25"/>
      <c r="M17" s="15"/>
    </row>
    <row r="18" spans="1:13" x14ac:dyDescent="0.25">
      <c r="A18" s="12"/>
      <c r="B18" s="12"/>
      <c r="C18" s="12"/>
      <c r="D18" s="12"/>
      <c r="E18" s="12"/>
      <c r="F18" s="12"/>
      <c r="G18" s="12"/>
      <c r="H18" s="12"/>
      <c r="I18" s="13"/>
      <c r="J18" s="13"/>
      <c r="K18" s="14"/>
      <c r="L18" s="26"/>
      <c r="M18" s="22"/>
    </row>
    <row r="19" spans="1:13" x14ac:dyDescent="0.25">
      <c r="A19" s="12"/>
      <c r="B19" s="15"/>
      <c r="C19" s="15"/>
      <c r="D19" s="15"/>
      <c r="E19" s="15"/>
      <c r="F19" s="15"/>
      <c r="G19" s="15"/>
      <c r="H19" s="15"/>
      <c r="I19" s="16"/>
      <c r="J19" s="16"/>
      <c r="K19" s="17"/>
      <c r="L19" s="25"/>
      <c r="M19" s="15"/>
    </row>
    <row r="20" spans="1:13" x14ac:dyDescent="0.25">
      <c r="A20" s="12"/>
      <c r="B20" s="15"/>
      <c r="C20" s="15"/>
      <c r="D20" s="15"/>
      <c r="E20" s="15"/>
      <c r="F20" s="15"/>
      <c r="G20" s="15"/>
      <c r="H20" s="15"/>
      <c r="I20" s="16"/>
      <c r="J20" s="16"/>
      <c r="K20" s="17"/>
      <c r="L20" s="25"/>
      <c r="M20" s="15"/>
    </row>
    <row r="21" spans="1:13" x14ac:dyDescent="0.25">
      <c r="A21" s="12"/>
      <c r="B21" s="15"/>
      <c r="C21" s="15"/>
      <c r="D21" s="15"/>
      <c r="E21" s="15"/>
      <c r="F21" s="15"/>
      <c r="G21" s="15"/>
      <c r="H21" s="15"/>
      <c r="I21" s="16"/>
      <c r="J21" s="16"/>
      <c r="K21" s="17"/>
      <c r="L21" s="25"/>
      <c r="M21" s="15"/>
    </row>
    <row r="22" spans="1:13" x14ac:dyDescent="0.25">
      <c r="A22" s="12"/>
      <c r="B22" s="12"/>
      <c r="C22" s="15"/>
      <c r="D22" s="15"/>
      <c r="E22" s="15"/>
      <c r="F22" s="15"/>
      <c r="G22" s="15"/>
      <c r="H22" s="15"/>
      <c r="I22" s="16"/>
      <c r="J22" s="16"/>
      <c r="K22" s="17"/>
      <c r="L22" s="25"/>
      <c r="M22" s="15"/>
    </row>
    <row r="23" spans="1:13" x14ac:dyDescent="0.25">
      <c r="A23" s="12"/>
      <c r="B23" s="15"/>
      <c r="C23" s="15"/>
      <c r="D23" s="15"/>
      <c r="E23" s="15"/>
      <c r="F23" s="15"/>
      <c r="G23" s="15"/>
      <c r="H23" s="15"/>
      <c r="I23" s="16"/>
      <c r="J23" s="16"/>
      <c r="K23" s="17"/>
      <c r="L23" s="25"/>
      <c r="M23" s="15"/>
    </row>
    <row r="24" spans="1:13" x14ac:dyDescent="0.25">
      <c r="A24" s="15"/>
      <c r="B24" s="15"/>
      <c r="C24" s="15"/>
      <c r="D24" s="15"/>
      <c r="E24" s="15"/>
      <c r="F24" s="15"/>
      <c r="G24" s="15"/>
      <c r="H24" s="15"/>
      <c r="I24" s="16"/>
      <c r="J24" s="16"/>
      <c r="K24" s="17"/>
      <c r="L24" s="25"/>
      <c r="M24" s="15"/>
    </row>
    <row r="25" spans="1:13" x14ac:dyDescent="0.25">
      <c r="A25" s="15"/>
      <c r="B25" s="15"/>
      <c r="C25" s="15"/>
      <c r="D25" s="15"/>
      <c r="E25" s="15"/>
      <c r="F25" s="15"/>
      <c r="G25" s="15"/>
      <c r="H25" s="15"/>
      <c r="I25" s="16"/>
      <c r="J25" s="16"/>
      <c r="K25" s="17"/>
      <c r="L25" s="25"/>
      <c r="M25" s="15"/>
    </row>
    <row r="26" spans="1:13" x14ac:dyDescent="0.25">
      <c r="A26" s="15"/>
      <c r="B26" s="15"/>
      <c r="C26" s="15"/>
      <c r="D26" s="15"/>
      <c r="E26" s="15"/>
      <c r="F26" s="15"/>
      <c r="G26" s="15"/>
      <c r="H26" s="15"/>
      <c r="I26" s="16"/>
      <c r="J26" s="16"/>
      <c r="K26" s="17"/>
      <c r="L26" s="25"/>
      <c r="M26" s="15"/>
    </row>
    <row r="27" spans="1:13" x14ac:dyDescent="0.25">
      <c r="A27" s="15"/>
      <c r="B27" s="15"/>
      <c r="C27" s="15"/>
      <c r="D27" s="15"/>
      <c r="E27" s="15"/>
      <c r="F27" s="15"/>
      <c r="G27" s="15"/>
      <c r="H27" s="15"/>
      <c r="I27" s="16"/>
      <c r="J27" s="16"/>
      <c r="K27" s="17"/>
      <c r="L27" s="25"/>
      <c r="M27" s="15"/>
    </row>
    <row r="28" spans="1:13" x14ac:dyDescent="0.25">
      <c r="A28" s="15"/>
      <c r="B28" s="15"/>
      <c r="C28" s="15"/>
      <c r="D28" s="15"/>
      <c r="E28" s="15"/>
      <c r="F28" s="15"/>
      <c r="G28" s="15"/>
      <c r="H28" s="15"/>
      <c r="I28" s="16"/>
      <c r="J28" s="16"/>
      <c r="K28" s="17"/>
      <c r="L28" s="25"/>
      <c r="M28" s="15"/>
    </row>
    <row r="29" spans="1:13" x14ac:dyDescent="0.25">
      <c r="A29" s="15"/>
      <c r="B29" s="15"/>
      <c r="C29" s="15"/>
      <c r="D29" s="15"/>
      <c r="E29" s="15"/>
      <c r="F29" s="15"/>
      <c r="G29" s="15"/>
      <c r="H29" s="15"/>
      <c r="I29" s="13"/>
      <c r="J29" s="13"/>
      <c r="K29" s="17"/>
      <c r="L29" s="26"/>
      <c r="M29" s="12"/>
    </row>
  </sheetData>
  <mergeCells count="2">
    <mergeCell ref="A3:M3"/>
    <mergeCell ref="A7:M7"/>
  </mergeCells>
  <pageMargins left="0.7" right="0.7" top="0.75" bottom="0.75" header="0.3" footer="0.3"/>
  <pageSetup orientation="portrait" horizontalDpi="360" verticalDpi="36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9996-6D15-4E8D-91B0-6B9C1EB68B20}">
  <sheetPr>
    <tabColor rgb="FFFEDEF7"/>
  </sheetPr>
  <dimension ref="A2:M12"/>
  <sheetViews>
    <sheetView topLeftCell="A4" workbookViewId="0">
      <selection activeCell="A8" sqref="A8:N18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57031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35" t="s">
        <v>81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39" t="s">
        <v>2</v>
      </c>
      <c r="B6" s="7" t="s">
        <v>3</v>
      </c>
      <c r="C6" s="40" t="s">
        <v>4</v>
      </c>
      <c r="D6" s="7" t="s">
        <v>5</v>
      </c>
      <c r="E6" s="40" t="s">
        <v>6</v>
      </c>
      <c r="F6" s="7" t="s">
        <v>7</v>
      </c>
      <c r="G6" s="7" t="s">
        <v>8</v>
      </c>
      <c r="H6" s="40" t="s">
        <v>9</v>
      </c>
      <c r="I6" s="7" t="s">
        <v>10</v>
      </c>
      <c r="J6" s="40" t="s">
        <v>11</v>
      </c>
      <c r="K6" s="7" t="s">
        <v>12</v>
      </c>
      <c r="L6" s="7" t="s">
        <v>80</v>
      </c>
      <c r="M6" s="41" t="s">
        <v>14</v>
      </c>
    </row>
    <row r="7" spans="1:13" ht="15.75" x14ac:dyDescent="0.25">
      <c r="A7" s="178" t="s">
        <v>59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80"/>
    </row>
    <row r="8" spans="1:13" x14ac:dyDescent="0.25">
      <c r="A8" s="12"/>
      <c r="B8" s="12"/>
      <c r="C8" s="15"/>
      <c r="D8" s="12"/>
      <c r="E8" s="12"/>
      <c r="F8" s="12"/>
      <c r="G8" s="12"/>
      <c r="H8" s="12"/>
      <c r="I8" s="13"/>
      <c r="J8" s="13"/>
      <c r="K8" s="14"/>
      <c r="L8" s="42"/>
      <c r="M8" s="14"/>
    </row>
    <row r="9" spans="1:13" x14ac:dyDescent="0.25">
      <c r="A9" s="12"/>
      <c r="B9" s="12"/>
      <c r="C9" s="12"/>
      <c r="D9" s="12"/>
      <c r="E9" s="12"/>
      <c r="F9" s="12"/>
      <c r="G9" s="12"/>
      <c r="H9" s="12"/>
      <c r="I9" s="13"/>
      <c r="J9" s="13"/>
      <c r="K9" s="14"/>
      <c r="L9" s="42"/>
      <c r="M9" s="12"/>
    </row>
    <row r="10" spans="1:13" x14ac:dyDescent="0.25">
      <c r="A10" s="12"/>
      <c r="B10" s="12"/>
      <c r="C10" s="12"/>
      <c r="D10" s="12"/>
      <c r="E10" s="12"/>
      <c r="F10" s="12"/>
      <c r="G10" s="12"/>
      <c r="H10" s="12"/>
      <c r="I10" s="13"/>
      <c r="J10" s="13"/>
      <c r="K10" s="14"/>
      <c r="L10" s="26"/>
      <c r="M10" s="12"/>
    </row>
    <row r="11" spans="1:13" x14ac:dyDescent="0.25">
      <c r="A11" s="12"/>
      <c r="B11" s="12"/>
      <c r="C11" s="12"/>
      <c r="D11" s="12"/>
      <c r="E11" s="12"/>
      <c r="F11" s="12"/>
      <c r="G11" s="12"/>
      <c r="H11" s="12"/>
      <c r="I11" s="13"/>
      <c r="J11" s="13"/>
      <c r="K11" s="14"/>
      <c r="L11" s="26"/>
      <c r="M11" s="12"/>
    </row>
    <row r="12" spans="1:13" x14ac:dyDescent="0.25">
      <c r="A12" s="12"/>
      <c r="B12" s="12"/>
      <c r="C12" s="12"/>
      <c r="D12" s="12"/>
      <c r="E12" s="12"/>
      <c r="F12" s="12"/>
      <c r="G12" s="12"/>
      <c r="H12" s="12"/>
      <c r="I12" s="13"/>
      <c r="J12" s="13"/>
      <c r="K12" s="14"/>
      <c r="L12" s="26"/>
      <c r="M12" s="12"/>
    </row>
  </sheetData>
  <mergeCells count="2">
    <mergeCell ref="A3:M3"/>
    <mergeCell ref="A7:M7"/>
  </mergeCells>
  <pageMargins left="0.7" right="0.7" top="0.75" bottom="0.75" header="0.3" footer="0.3"/>
  <pageSetup orientation="portrait" horizontalDpi="360" verticalDpi="36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AF81-4317-4138-AFEE-962B446650DA}">
  <sheetPr>
    <tabColor rgb="FFFEDEF7"/>
  </sheetPr>
  <dimension ref="A2:M29"/>
  <sheetViews>
    <sheetView workbookViewId="0">
      <selection activeCell="A8" sqref="A8:M30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35" t="s">
        <v>81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39" t="s">
        <v>2</v>
      </c>
      <c r="B6" s="7" t="s">
        <v>3</v>
      </c>
      <c r="C6" s="40" t="s">
        <v>4</v>
      </c>
      <c r="D6" s="7" t="s">
        <v>5</v>
      </c>
      <c r="E6" s="40" t="s">
        <v>6</v>
      </c>
      <c r="F6" s="7" t="s">
        <v>7</v>
      </c>
      <c r="G6" s="7" t="s">
        <v>8</v>
      </c>
      <c r="H6" s="40" t="s">
        <v>9</v>
      </c>
      <c r="I6" s="7" t="s">
        <v>10</v>
      </c>
      <c r="J6" s="40" t="s">
        <v>11</v>
      </c>
      <c r="K6" s="7" t="s">
        <v>12</v>
      </c>
      <c r="L6" s="7" t="s">
        <v>80</v>
      </c>
      <c r="M6" s="41" t="s">
        <v>14</v>
      </c>
    </row>
    <row r="7" spans="1:13" ht="15.75" x14ac:dyDescent="0.25">
      <c r="A7" s="178" t="s">
        <v>61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80"/>
    </row>
    <row r="8" spans="1:13" x14ac:dyDescent="0.25">
      <c r="A8" s="12"/>
      <c r="B8" s="12"/>
      <c r="C8" s="12"/>
      <c r="D8" s="12"/>
      <c r="E8" s="12"/>
      <c r="F8" s="12"/>
      <c r="G8" s="12"/>
      <c r="H8" s="12"/>
      <c r="I8" s="13"/>
      <c r="J8" s="13"/>
      <c r="K8" s="14"/>
      <c r="L8" s="42"/>
      <c r="M8" s="14"/>
    </row>
    <row r="9" spans="1:13" x14ac:dyDescent="0.25">
      <c r="A9" s="12"/>
      <c r="B9" s="12"/>
      <c r="C9" s="12"/>
      <c r="D9" s="12"/>
      <c r="E9" s="12"/>
      <c r="F9" s="12"/>
      <c r="G9" s="12"/>
      <c r="H9" s="12"/>
      <c r="I9" s="13"/>
      <c r="J9" s="13"/>
      <c r="K9" s="14"/>
      <c r="L9" s="42"/>
      <c r="M9" s="12"/>
    </row>
    <row r="10" spans="1:13" x14ac:dyDescent="0.25">
      <c r="A10" s="12"/>
      <c r="B10" s="12"/>
      <c r="C10" s="12"/>
      <c r="D10" s="12"/>
      <c r="E10" s="12"/>
      <c r="F10" s="12"/>
      <c r="G10" s="12"/>
      <c r="H10" s="12"/>
      <c r="I10" s="13"/>
      <c r="J10" s="13"/>
      <c r="K10" s="14"/>
      <c r="L10" s="26"/>
      <c r="M10" s="12"/>
    </row>
    <row r="11" spans="1:13" x14ac:dyDescent="0.25">
      <c r="A11" s="12"/>
      <c r="B11" s="12"/>
      <c r="C11" s="12"/>
      <c r="D11" s="12"/>
      <c r="E11" s="12"/>
      <c r="F11" s="12"/>
      <c r="G11" s="12"/>
      <c r="H11" s="12"/>
      <c r="I11" s="13"/>
      <c r="J11" s="13"/>
      <c r="K11" s="14"/>
      <c r="L11" s="26"/>
      <c r="M11" s="12"/>
    </row>
    <row r="12" spans="1:13" x14ac:dyDescent="0.25">
      <c r="A12" s="12"/>
      <c r="B12" s="12"/>
      <c r="C12" s="12"/>
      <c r="D12" s="12"/>
      <c r="E12" s="12"/>
      <c r="F12" s="12"/>
      <c r="G12" s="12"/>
      <c r="H12" s="12"/>
      <c r="I12" s="13"/>
      <c r="J12" s="13"/>
      <c r="K12" s="14"/>
      <c r="L12" s="26"/>
      <c r="M12" s="12"/>
    </row>
    <row r="13" spans="1:13" x14ac:dyDescent="0.25">
      <c r="A13" s="12"/>
      <c r="B13" s="12"/>
      <c r="C13" s="12"/>
      <c r="D13" s="12"/>
      <c r="E13" s="12"/>
      <c r="F13" s="12"/>
      <c r="G13" s="12"/>
      <c r="H13" s="12"/>
      <c r="I13" s="13"/>
      <c r="J13" s="13"/>
      <c r="K13" s="14"/>
      <c r="L13" s="26"/>
      <c r="M13" s="12"/>
    </row>
    <row r="14" spans="1:13" x14ac:dyDescent="0.25">
      <c r="A14" s="12"/>
      <c r="B14" s="12"/>
      <c r="C14" s="12"/>
      <c r="D14" s="12"/>
      <c r="E14" s="12"/>
      <c r="F14" s="12"/>
      <c r="G14" s="12"/>
      <c r="H14" s="12"/>
      <c r="I14" s="13"/>
      <c r="J14" s="13"/>
      <c r="K14" s="14"/>
      <c r="L14" s="26"/>
      <c r="M14" s="12"/>
    </row>
    <row r="15" spans="1:13" x14ac:dyDescent="0.25">
      <c r="A15" s="12"/>
      <c r="B15" s="15"/>
      <c r="C15" s="15"/>
      <c r="D15" s="15"/>
      <c r="E15" s="15"/>
      <c r="F15" s="15"/>
      <c r="G15" s="15"/>
      <c r="H15" s="15"/>
      <c r="I15" s="16"/>
      <c r="J15" s="16"/>
      <c r="K15" s="17"/>
      <c r="L15" s="25"/>
      <c r="M15" s="15"/>
    </row>
    <row r="16" spans="1:13" x14ac:dyDescent="0.25">
      <c r="A16" s="12"/>
      <c r="B16" s="15"/>
      <c r="C16" s="15"/>
      <c r="D16" s="15"/>
      <c r="E16" s="15"/>
      <c r="F16" s="15"/>
      <c r="G16" s="15"/>
      <c r="H16" s="15"/>
      <c r="I16" s="16"/>
      <c r="J16" s="16"/>
      <c r="K16" s="17"/>
      <c r="L16" s="25"/>
      <c r="M16" s="15"/>
    </row>
    <row r="17" spans="1:13" x14ac:dyDescent="0.25">
      <c r="A17" s="12"/>
      <c r="B17" s="15"/>
      <c r="C17" s="15"/>
      <c r="D17" s="15"/>
      <c r="E17" s="15"/>
      <c r="F17" s="15"/>
      <c r="G17" s="15"/>
      <c r="H17" s="15"/>
      <c r="I17" s="16"/>
      <c r="J17" s="16"/>
      <c r="K17" s="17"/>
      <c r="L17" s="25"/>
      <c r="M17" s="15"/>
    </row>
    <row r="18" spans="1:13" x14ac:dyDescent="0.25">
      <c r="A18" s="12"/>
      <c r="B18" s="12"/>
      <c r="C18" s="12"/>
      <c r="D18" s="12"/>
      <c r="E18" s="12"/>
      <c r="F18" s="12"/>
      <c r="G18" s="12"/>
      <c r="H18" s="12"/>
      <c r="I18" s="13"/>
      <c r="J18" s="13"/>
      <c r="K18" s="14"/>
      <c r="L18" s="26"/>
      <c r="M18" s="12"/>
    </row>
    <row r="19" spans="1:13" x14ac:dyDescent="0.25">
      <c r="A19" s="12"/>
      <c r="B19" s="15"/>
      <c r="C19" s="15"/>
      <c r="D19" s="15"/>
      <c r="E19" s="15"/>
      <c r="F19" s="15"/>
      <c r="G19" s="15"/>
      <c r="H19" s="15"/>
      <c r="I19" s="16"/>
      <c r="J19" s="16"/>
      <c r="K19" s="17"/>
      <c r="L19" s="25"/>
      <c r="M19" s="15"/>
    </row>
    <row r="20" spans="1:13" x14ac:dyDescent="0.25">
      <c r="A20" s="12"/>
      <c r="B20" s="15"/>
      <c r="C20" s="15"/>
      <c r="D20" s="15"/>
      <c r="E20" s="15"/>
      <c r="F20" s="15"/>
      <c r="G20" s="15"/>
      <c r="H20" s="15"/>
      <c r="I20" s="16"/>
      <c r="J20" s="16"/>
      <c r="K20" s="17"/>
      <c r="L20" s="25"/>
      <c r="M20" s="15"/>
    </row>
    <row r="21" spans="1:13" x14ac:dyDescent="0.25">
      <c r="A21" s="12"/>
      <c r="B21" s="15"/>
      <c r="C21" s="15"/>
      <c r="D21" s="15"/>
      <c r="E21" s="15"/>
      <c r="F21" s="15"/>
      <c r="G21" s="15"/>
      <c r="H21" s="15"/>
      <c r="I21" s="16"/>
      <c r="J21" s="16"/>
      <c r="K21" s="17"/>
      <c r="L21" s="25"/>
      <c r="M21" s="15"/>
    </row>
    <row r="22" spans="1:13" x14ac:dyDescent="0.25">
      <c r="A22" s="12"/>
      <c r="B22" s="15"/>
      <c r="C22" s="15"/>
      <c r="D22" s="15"/>
      <c r="E22" s="15"/>
      <c r="F22" s="15"/>
      <c r="G22" s="15"/>
      <c r="H22" s="15"/>
      <c r="I22" s="16"/>
      <c r="J22" s="16"/>
      <c r="K22" s="17"/>
      <c r="L22" s="25"/>
      <c r="M22" s="15"/>
    </row>
    <row r="23" spans="1:13" x14ac:dyDescent="0.25">
      <c r="A23" s="12"/>
      <c r="B23" s="15"/>
      <c r="C23" s="15"/>
      <c r="D23" s="15"/>
      <c r="E23" s="15"/>
      <c r="F23" s="15"/>
      <c r="G23" s="15"/>
      <c r="H23" s="15"/>
      <c r="I23" s="16"/>
      <c r="J23" s="16"/>
      <c r="K23" s="17"/>
      <c r="L23" s="25"/>
      <c r="M23" s="15"/>
    </row>
    <row r="24" spans="1:13" x14ac:dyDescent="0.25">
      <c r="A24" s="15"/>
      <c r="B24" s="15"/>
      <c r="C24" s="15"/>
      <c r="D24" s="15"/>
      <c r="E24" s="15"/>
      <c r="F24" s="15"/>
      <c r="G24" s="15"/>
      <c r="H24" s="15"/>
      <c r="I24" s="16"/>
      <c r="J24" s="16"/>
      <c r="K24" s="17"/>
      <c r="L24" s="25"/>
      <c r="M24" s="15"/>
    </row>
    <row r="25" spans="1:13" x14ac:dyDescent="0.25">
      <c r="A25" s="15"/>
      <c r="B25" s="15"/>
      <c r="C25" s="15"/>
      <c r="D25" s="15"/>
      <c r="E25" s="15"/>
      <c r="F25" s="15"/>
      <c r="G25" s="15"/>
      <c r="H25" s="15"/>
      <c r="I25" s="16"/>
      <c r="J25" s="16"/>
      <c r="K25" s="17"/>
      <c r="L25" s="25"/>
      <c r="M25" s="15"/>
    </row>
    <row r="26" spans="1:13" x14ac:dyDescent="0.25">
      <c r="A26" s="15"/>
      <c r="B26" s="15"/>
      <c r="C26" s="15"/>
      <c r="D26" s="15"/>
      <c r="E26" s="15"/>
      <c r="F26" s="15"/>
      <c r="G26" s="15"/>
      <c r="H26" s="15"/>
      <c r="I26" s="16"/>
      <c r="J26" s="16"/>
      <c r="K26" s="17"/>
      <c r="L26" s="25"/>
      <c r="M26" s="15"/>
    </row>
    <row r="27" spans="1:13" x14ac:dyDescent="0.25">
      <c r="A27" s="15"/>
      <c r="B27" s="15"/>
      <c r="C27" s="15"/>
      <c r="D27" s="15"/>
      <c r="E27" s="15"/>
      <c r="F27" s="15"/>
      <c r="G27" s="15"/>
      <c r="H27" s="15"/>
      <c r="I27" s="16"/>
      <c r="J27" s="16"/>
      <c r="K27" s="17"/>
      <c r="L27" s="25"/>
      <c r="M27" s="15"/>
    </row>
    <row r="28" spans="1:13" x14ac:dyDescent="0.25">
      <c r="A28" s="15"/>
      <c r="B28" s="15"/>
      <c r="C28" s="15"/>
      <c r="D28" s="15"/>
      <c r="E28" s="15"/>
      <c r="F28" s="15"/>
      <c r="G28" s="15"/>
      <c r="H28" s="15"/>
      <c r="I28" s="16"/>
      <c r="J28" s="16"/>
      <c r="K28" s="17"/>
      <c r="L28" s="25"/>
      <c r="M28" s="15"/>
    </row>
    <row r="29" spans="1:13" x14ac:dyDescent="0.25">
      <c r="A29" s="15"/>
      <c r="B29" s="15"/>
      <c r="C29" s="15"/>
      <c r="D29" s="15"/>
      <c r="E29" s="15"/>
      <c r="F29" s="15"/>
      <c r="G29" s="15"/>
      <c r="H29" s="15"/>
      <c r="I29" s="13"/>
      <c r="J29" s="13"/>
      <c r="K29" s="17"/>
      <c r="L29" s="26"/>
      <c r="M29" s="12"/>
    </row>
  </sheetData>
  <mergeCells count="2">
    <mergeCell ref="A3:M3"/>
    <mergeCell ref="A7:M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C443-433F-4B53-86B2-04532DA0CCDE}">
  <sheetPr>
    <tabColor rgb="FFFEDEF7"/>
  </sheetPr>
  <dimension ref="A2:M32"/>
  <sheetViews>
    <sheetView workbookViewId="0">
      <selection activeCell="F30" sqref="F30"/>
    </sheetView>
  </sheetViews>
  <sheetFormatPr baseColWidth="10" defaultRowHeight="15" x14ac:dyDescent="0.25"/>
  <cols>
    <col min="1" max="1" width="6.42578125" customWidth="1"/>
    <col min="2" max="2" width="19.42578125" customWidth="1"/>
    <col min="3" max="3" width="13.85546875" customWidth="1"/>
    <col min="4" max="4" width="11.85546875" customWidth="1"/>
    <col min="5" max="5" width="20.28515625" customWidth="1"/>
    <col min="6" max="6" width="35.28515625" customWidth="1"/>
    <col min="7" max="7" width="7.85546875" customWidth="1"/>
    <col min="8" max="8" width="6.85546875" bestFit="1" customWidth="1"/>
    <col min="9" max="10" width="15.5703125" customWidth="1"/>
    <col min="11" max="11" width="16.7109375" customWidth="1"/>
    <col min="12" max="12" width="30" customWidth="1"/>
    <col min="13" max="13" width="36.140625" customWidth="1"/>
  </cols>
  <sheetData>
    <row r="2" spans="1:13" x14ac:dyDescent="0.25">
      <c r="A2" s="1"/>
      <c r="B2" s="3"/>
      <c r="C2" s="3"/>
      <c r="D2" s="4"/>
      <c r="E2" s="3"/>
      <c r="F2" s="3"/>
      <c r="G2" s="3"/>
      <c r="H2" s="3"/>
      <c r="I2" s="5"/>
      <c r="J2" s="3"/>
    </row>
    <row r="3" spans="1:13" ht="18" x14ac:dyDescent="0.25">
      <c r="A3" s="135" t="s">
        <v>81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</row>
    <row r="4" spans="1:13" x14ac:dyDescent="0.25">
      <c r="A4" s="1"/>
      <c r="B4" s="3"/>
      <c r="C4" s="3"/>
      <c r="D4" s="3"/>
      <c r="E4" s="3"/>
      <c r="F4" s="3" t="s">
        <v>1</v>
      </c>
      <c r="G4" s="3"/>
      <c r="H4" s="3"/>
      <c r="I4" s="5"/>
      <c r="J4" s="3"/>
    </row>
    <row r="5" spans="1:13" ht="15.75" thickBot="1" x14ac:dyDescent="0.3">
      <c r="A5" s="1"/>
      <c r="I5" s="5"/>
    </row>
    <row r="6" spans="1:13" ht="32.25" thickBot="1" x14ac:dyDescent="0.3">
      <c r="A6" s="39" t="s">
        <v>2</v>
      </c>
      <c r="B6" s="7" t="s">
        <v>3</v>
      </c>
      <c r="C6" s="40" t="s">
        <v>4</v>
      </c>
      <c r="D6" s="7" t="s">
        <v>5</v>
      </c>
      <c r="E6" s="40" t="s">
        <v>6</v>
      </c>
      <c r="F6" s="7" t="s">
        <v>7</v>
      </c>
      <c r="G6" s="7" t="s">
        <v>8</v>
      </c>
      <c r="H6" s="40" t="s">
        <v>9</v>
      </c>
      <c r="I6" s="7" t="s">
        <v>10</v>
      </c>
      <c r="J6" s="40" t="s">
        <v>11</v>
      </c>
      <c r="K6" s="7" t="s">
        <v>12</v>
      </c>
      <c r="L6" s="7" t="s">
        <v>80</v>
      </c>
      <c r="M6" s="41" t="s">
        <v>14</v>
      </c>
    </row>
    <row r="7" spans="1:13" ht="15.75" x14ac:dyDescent="0.25">
      <c r="A7" s="178" t="s">
        <v>64</v>
      </c>
      <c r="B7" s="179"/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80"/>
    </row>
    <row r="8" spans="1:13" x14ac:dyDescent="0.25">
      <c r="A8" s="12"/>
      <c r="B8" s="12"/>
      <c r="C8" s="15"/>
      <c r="D8" s="12"/>
      <c r="E8" s="12"/>
      <c r="F8" s="12"/>
      <c r="G8" s="12"/>
      <c r="H8" s="12"/>
      <c r="I8" s="13"/>
      <c r="J8" s="13"/>
      <c r="K8" s="14"/>
      <c r="L8" s="42"/>
      <c r="M8" s="14"/>
    </row>
    <row r="9" spans="1:13" x14ac:dyDescent="0.25">
      <c r="A9" s="12"/>
      <c r="B9" s="12"/>
      <c r="C9" s="12"/>
      <c r="D9" s="12"/>
      <c r="E9" s="12"/>
      <c r="F9" s="12"/>
      <c r="G9" s="12"/>
      <c r="H9" s="12"/>
      <c r="I9" s="13"/>
      <c r="J9" s="13"/>
      <c r="K9" s="14"/>
      <c r="L9" s="42"/>
      <c r="M9" s="12"/>
    </row>
    <row r="10" spans="1:13" x14ac:dyDescent="0.25">
      <c r="A10" s="12"/>
      <c r="B10" s="12"/>
      <c r="C10" s="12"/>
      <c r="D10" s="12"/>
      <c r="E10" s="12"/>
      <c r="F10" s="12"/>
      <c r="G10" s="12"/>
      <c r="H10" s="12"/>
      <c r="I10" s="13"/>
      <c r="J10" s="13"/>
      <c r="K10" s="14"/>
      <c r="L10" s="26"/>
      <c r="M10" s="12"/>
    </row>
    <row r="11" spans="1:13" x14ac:dyDescent="0.25">
      <c r="A11" s="12"/>
      <c r="B11" s="12"/>
      <c r="C11" s="12"/>
      <c r="D11" s="12"/>
      <c r="E11" s="12"/>
      <c r="F11" s="12"/>
      <c r="G11" s="12"/>
      <c r="H11" s="12"/>
      <c r="I11" s="13"/>
      <c r="J11" s="13"/>
      <c r="K11" s="14"/>
      <c r="L11" s="26"/>
      <c r="M11" s="12"/>
    </row>
    <row r="12" spans="1:13" x14ac:dyDescent="0.25">
      <c r="A12" s="12"/>
      <c r="B12" s="12"/>
      <c r="C12" s="12"/>
      <c r="D12" s="12"/>
      <c r="E12" s="12"/>
      <c r="F12" s="12"/>
      <c r="G12" s="12"/>
      <c r="H12" s="12"/>
      <c r="I12" s="13"/>
      <c r="J12" s="13"/>
      <c r="K12" s="14"/>
      <c r="L12" s="26"/>
      <c r="M12" s="12"/>
    </row>
    <row r="13" spans="1:13" x14ac:dyDescent="0.25">
      <c r="A13" s="12"/>
      <c r="B13" s="12"/>
      <c r="C13" s="12"/>
      <c r="D13" s="12"/>
      <c r="E13" s="12"/>
      <c r="F13" s="12"/>
      <c r="G13" s="12"/>
      <c r="H13" s="12"/>
      <c r="I13" s="13"/>
      <c r="J13" s="13"/>
      <c r="K13" s="14"/>
      <c r="L13" s="26"/>
      <c r="M13" s="12"/>
    </row>
    <row r="14" spans="1:13" x14ac:dyDescent="0.25">
      <c r="A14" s="12"/>
      <c r="B14" s="12"/>
      <c r="C14" s="12"/>
      <c r="D14" s="12"/>
      <c r="E14" s="12"/>
      <c r="F14" s="12"/>
      <c r="G14" s="12"/>
      <c r="H14" s="12"/>
      <c r="I14" s="13"/>
      <c r="J14" s="13"/>
      <c r="K14" s="14"/>
      <c r="L14" s="26"/>
      <c r="M14" s="12"/>
    </row>
    <row r="15" spans="1:13" x14ac:dyDescent="0.25">
      <c r="A15" s="12"/>
      <c r="B15" s="15"/>
      <c r="C15" s="15"/>
      <c r="D15" s="15"/>
      <c r="E15" s="15"/>
      <c r="F15" s="15"/>
      <c r="G15" s="15"/>
      <c r="H15" s="15"/>
      <c r="I15" s="16"/>
      <c r="J15" s="16"/>
      <c r="K15" s="17"/>
      <c r="L15" s="25"/>
      <c r="M15" s="15"/>
    </row>
    <row r="16" spans="1:13" x14ac:dyDescent="0.25">
      <c r="A16" s="12"/>
      <c r="B16" s="15"/>
      <c r="C16" s="15"/>
      <c r="D16" s="15"/>
      <c r="E16" s="15"/>
      <c r="F16" s="15"/>
      <c r="G16" s="15"/>
      <c r="H16" s="15"/>
      <c r="I16" s="16"/>
      <c r="J16" s="16"/>
      <c r="K16" s="17"/>
      <c r="L16" s="25"/>
      <c r="M16" s="15"/>
    </row>
    <row r="17" spans="1:13" x14ac:dyDescent="0.25">
      <c r="A17" s="12"/>
      <c r="B17" s="15"/>
      <c r="C17" s="15"/>
      <c r="D17" s="15"/>
      <c r="E17" s="15"/>
      <c r="F17" s="15"/>
      <c r="G17" s="15"/>
      <c r="H17" s="15"/>
      <c r="I17" s="16"/>
      <c r="J17" s="16"/>
      <c r="K17" s="17"/>
      <c r="L17" s="25"/>
      <c r="M17" s="15"/>
    </row>
    <row r="18" spans="1:13" x14ac:dyDescent="0.25">
      <c r="A18" s="12"/>
      <c r="B18" s="12"/>
      <c r="C18" s="12"/>
      <c r="D18" s="12"/>
      <c r="E18" s="12"/>
      <c r="F18" s="12"/>
      <c r="G18" s="12"/>
      <c r="H18" s="12"/>
      <c r="I18" s="13"/>
      <c r="J18" s="13"/>
      <c r="K18" s="14"/>
      <c r="L18" s="26"/>
      <c r="M18" s="12"/>
    </row>
    <row r="19" spans="1:13" x14ac:dyDescent="0.25">
      <c r="A19" s="12"/>
      <c r="B19" s="15"/>
      <c r="C19" s="15"/>
      <c r="D19" s="15"/>
      <c r="E19" s="15"/>
      <c r="F19" s="15"/>
      <c r="G19" s="15"/>
      <c r="H19" s="15"/>
      <c r="I19" s="16"/>
      <c r="J19" s="16"/>
      <c r="K19" s="17"/>
      <c r="L19" s="25"/>
      <c r="M19" s="15"/>
    </row>
    <row r="20" spans="1:13" x14ac:dyDescent="0.25">
      <c r="A20" s="12"/>
      <c r="B20" s="15"/>
      <c r="C20" s="15"/>
      <c r="D20" s="15"/>
      <c r="E20" s="15"/>
      <c r="F20" s="15"/>
      <c r="G20" s="15"/>
      <c r="H20" s="15"/>
      <c r="I20" s="16"/>
      <c r="J20" s="16"/>
      <c r="K20" s="17"/>
      <c r="L20" s="25"/>
      <c r="M20" s="15"/>
    </row>
    <row r="21" spans="1:13" x14ac:dyDescent="0.25">
      <c r="A21" s="12"/>
      <c r="B21" s="15"/>
      <c r="C21" s="15"/>
      <c r="D21" s="15"/>
      <c r="E21" s="15"/>
      <c r="F21" s="15"/>
      <c r="G21" s="15"/>
      <c r="H21" s="15"/>
      <c r="I21" s="16"/>
      <c r="J21" s="16"/>
      <c r="K21" s="17"/>
      <c r="L21" s="25"/>
      <c r="M21" s="15"/>
    </row>
    <row r="22" spans="1:13" x14ac:dyDescent="0.25">
      <c r="A22" s="12"/>
      <c r="B22" s="15"/>
      <c r="C22" s="15"/>
      <c r="D22" s="15"/>
      <c r="E22" s="15"/>
      <c r="F22" s="15"/>
      <c r="G22" s="15"/>
      <c r="H22" s="15"/>
      <c r="I22" s="16"/>
      <c r="J22" s="16"/>
      <c r="K22" s="17"/>
      <c r="L22" s="25"/>
      <c r="M22" s="15"/>
    </row>
    <row r="23" spans="1:13" x14ac:dyDescent="0.25">
      <c r="A23" s="12"/>
      <c r="B23" s="15"/>
      <c r="C23" s="15"/>
      <c r="D23" s="15"/>
      <c r="E23" s="15"/>
      <c r="F23" s="15"/>
      <c r="G23" s="15"/>
      <c r="H23" s="15"/>
      <c r="I23" s="16"/>
      <c r="J23" s="16"/>
      <c r="K23" s="17"/>
      <c r="L23" s="25"/>
      <c r="M23" s="15"/>
    </row>
    <row r="24" spans="1:13" x14ac:dyDescent="0.25">
      <c r="A24" s="15"/>
      <c r="B24" s="15"/>
      <c r="C24" s="15"/>
      <c r="D24" s="15"/>
      <c r="E24" s="15"/>
      <c r="F24" s="15"/>
      <c r="G24" s="15"/>
      <c r="H24" s="15"/>
      <c r="I24" s="16"/>
      <c r="J24" s="16"/>
      <c r="K24" s="17"/>
      <c r="L24" s="25"/>
      <c r="M24" s="15"/>
    </row>
    <row r="25" spans="1:13" x14ac:dyDescent="0.25">
      <c r="A25" s="15"/>
      <c r="B25" s="15"/>
      <c r="C25" s="15"/>
      <c r="D25" s="15"/>
      <c r="E25" s="15"/>
      <c r="F25" s="15"/>
      <c r="G25" s="15"/>
      <c r="H25" s="15"/>
      <c r="I25" s="16"/>
      <c r="J25" s="16"/>
      <c r="K25" s="17"/>
      <c r="L25" s="25"/>
      <c r="M25" s="15"/>
    </row>
    <row r="26" spans="1:13" x14ac:dyDescent="0.25">
      <c r="A26" s="15"/>
      <c r="B26" s="15"/>
      <c r="C26" s="15"/>
      <c r="D26" s="15"/>
      <c r="E26" s="15"/>
      <c r="F26" s="15"/>
      <c r="G26" s="15"/>
      <c r="H26" s="15"/>
      <c r="I26" s="16"/>
      <c r="J26" s="16"/>
      <c r="K26" s="17"/>
      <c r="L26" s="25"/>
      <c r="M26" s="15"/>
    </row>
    <row r="27" spans="1:13" x14ac:dyDescent="0.25">
      <c r="A27" s="15"/>
      <c r="B27" s="15"/>
      <c r="C27" s="15"/>
      <c r="D27" s="15"/>
      <c r="E27" s="15"/>
      <c r="F27" s="15"/>
      <c r="G27" s="15"/>
      <c r="H27" s="15"/>
      <c r="I27" s="16"/>
      <c r="J27" s="16"/>
      <c r="K27" s="17"/>
      <c r="L27" s="25"/>
      <c r="M27" s="15"/>
    </row>
    <row r="28" spans="1:13" x14ac:dyDescent="0.25">
      <c r="A28" s="15"/>
      <c r="B28" s="15"/>
      <c r="C28" s="15"/>
      <c r="D28" s="15"/>
      <c r="E28" s="15"/>
      <c r="F28" s="15"/>
      <c r="G28" s="15"/>
      <c r="H28" s="15"/>
      <c r="I28" s="16"/>
      <c r="J28" s="16"/>
      <c r="K28" s="17"/>
      <c r="L28" s="25"/>
      <c r="M28" s="15"/>
    </row>
    <row r="29" spans="1:13" x14ac:dyDescent="0.25">
      <c r="A29" s="15"/>
      <c r="B29" s="15"/>
      <c r="C29" s="15"/>
      <c r="D29" s="15"/>
      <c r="E29" s="15"/>
      <c r="F29" s="15"/>
      <c r="G29" s="15"/>
      <c r="H29" s="15"/>
      <c r="I29" s="13"/>
      <c r="J29" s="13"/>
      <c r="K29" s="17"/>
      <c r="L29" s="26"/>
      <c r="M29" s="12"/>
    </row>
    <row r="30" spans="1:13" x14ac:dyDescent="0.25">
      <c r="A30" s="15"/>
      <c r="B30" s="15"/>
      <c r="C30" s="15"/>
      <c r="D30" s="15"/>
      <c r="E30" s="15"/>
      <c r="F30" s="15"/>
      <c r="G30" s="15"/>
      <c r="H30" s="15"/>
      <c r="I30" s="13"/>
      <c r="J30" s="13"/>
      <c r="K30" s="17"/>
      <c r="L30" s="24"/>
      <c r="M30" s="24"/>
    </row>
    <row r="31" spans="1:13" x14ac:dyDescent="0.25">
      <c r="A31" s="15"/>
      <c r="B31" s="15"/>
      <c r="C31" s="15"/>
      <c r="D31" s="15"/>
      <c r="E31" s="15"/>
      <c r="F31" s="15"/>
      <c r="G31" s="15"/>
      <c r="H31" s="15"/>
      <c r="I31" s="13"/>
      <c r="J31" s="13"/>
      <c r="K31" s="14"/>
      <c r="L31" s="24"/>
      <c r="M31" s="24"/>
    </row>
    <row r="32" spans="1:13" x14ac:dyDescent="0.25">
      <c r="A32" s="15"/>
      <c r="B32" s="15"/>
      <c r="C32" s="15"/>
      <c r="D32" s="15"/>
      <c r="E32" s="15"/>
      <c r="F32" s="15"/>
      <c r="G32" s="15"/>
      <c r="H32" s="15"/>
      <c r="I32" s="13"/>
      <c r="J32" s="13"/>
      <c r="K32" s="14"/>
      <c r="L32" s="27"/>
      <c r="M32" s="24"/>
    </row>
  </sheetData>
  <mergeCells count="2">
    <mergeCell ref="A3:M3"/>
    <mergeCell ref="A7:M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Captaciones Año 2025</vt:lpstr>
      <vt:lpstr>Captaciones Año 2026</vt:lpstr>
      <vt:lpstr>Captaciones por Agentes</vt:lpstr>
      <vt:lpstr>Reservas</vt:lpstr>
      <vt:lpstr>Ventas - Alquileres</vt:lpstr>
      <vt:lpstr>Puntas</vt:lpstr>
      <vt:lpstr>TOP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Goncalves</dc:creator>
  <cp:lastModifiedBy>Luis Leon</cp:lastModifiedBy>
  <dcterms:created xsi:type="dcterms:W3CDTF">2024-12-12T19:46:31Z</dcterms:created>
  <dcterms:modified xsi:type="dcterms:W3CDTF">2026-09-25T21:50:48Z</dcterms:modified>
</cp:coreProperties>
</file>